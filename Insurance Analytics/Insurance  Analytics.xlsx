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6.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7.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9.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0.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1.xml" ContentType="application/vnd.openxmlformats-officedocument.spreadsheetml.pivotTab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8.xml" ContentType="application/vnd.openxmlformats-officedocument.drawing+xml"/>
  <Override PartName="/xl/slicers/slicer1.xml" ContentType="application/vnd.ms-excel.slicer+xml"/>
  <Override PartName="/xl/timelines/timeline1.xml" ContentType="application/vnd.ms-excel.timeline+xml"/>
  <Override PartName="/xl/drawings/drawing9.xml" ContentType="application/vnd.openxmlformats-officedocument.drawing+xml"/>
  <Override PartName="/xl/slicers/slicer2.xml" ContentType="application/vnd.ms-excel.slicer+xml"/>
  <Override PartName="/xl/timelines/timeline2.xml" ContentType="application/vnd.ms-excel.timelin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F:\XLR\PROJECT 1 (INSURANCE ANALYTICS)\Project\Insurance Project\"/>
    </mc:Choice>
  </mc:AlternateContent>
  <xr:revisionPtr revIDLastSave="0" documentId="13_ncr:1_{1DE3FBB7-18CD-4E64-B787-8088D1763C1B}" xr6:coauthVersionLast="47" xr6:coauthVersionMax="47" xr10:uidLastSave="{00000000-0000-0000-0000-000000000000}"/>
  <bookViews>
    <workbookView xWindow="-120" yWindow="-120" windowWidth="20730" windowHeight="11040" firstSheet="6" activeTab="10" xr2:uid="{4DA96698-EEEB-474A-BC19-A8EAF8BBC000}"/>
  </bookViews>
  <sheets>
    <sheet name="Master Table" sheetId="8" r:id="rId1"/>
    <sheet name="Achievement" sheetId="18" r:id="rId2"/>
    <sheet name="No. of Invoice" sheetId="9" r:id="rId3"/>
    <sheet name="No.of Meeting" sheetId="10" r:id="rId4"/>
    <sheet name="Object - Product Group" sheetId="11" r:id="rId5"/>
    <sheet name="Top 4 Oppty" sheetId="12" r:id="rId6"/>
    <sheet name="Top 5 Product Sub-Group" sheetId="13" r:id="rId7"/>
    <sheet name="Meeting Trend" sheetId="15" r:id="rId8"/>
    <sheet name="Stage" sheetId="14" r:id="rId9"/>
    <sheet name="Slicers and Timeline" sheetId="16" r:id="rId10"/>
    <sheet name="Dashboard" sheetId="17" r:id="rId11"/>
  </sheets>
  <definedNames>
    <definedName name="ExternalData_2" localSheetId="0" hidden="1">'Master Table'!$A$1:$AG$322</definedName>
    <definedName name="NativeTimeline_meeting_date">#N/A</definedName>
    <definedName name="Slicer_income_class">#N/A</definedName>
    <definedName name="Slicer_solution_group">#N/A</definedName>
    <definedName name="Slicer_specialty">#N/A</definedName>
    <definedName name="Slicer_stage">#N/A</definedName>
  </definedNames>
  <calcPr calcId="191029"/>
  <pivotCaches>
    <pivotCache cacheId="0" r:id="rId12"/>
    <pivotCache cacheId="1" r:id="rId13"/>
    <pivotCache cacheId="2" r:id="rId14"/>
    <pivotCache cacheId="3" r:id="rId15"/>
    <pivotCache cacheId="4" r:id="rId16"/>
  </pivotCaches>
  <extLst>
    <ext xmlns:x14="http://schemas.microsoft.com/office/spreadsheetml/2009/9/main" uri="{BBE1A952-AA13-448e-AADC-164F8A28A991}">
      <x14:slicerCaches>
        <x14:slicerCache r:id="rId17"/>
        <x14:slicerCache r:id="rId18"/>
        <x14:slicerCache r:id="rId19"/>
        <x14:slicerCache r:id="rId20"/>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21"/>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33" i="17" l="1"/>
  <c r="J12" i="18"/>
  <c r="F5" i="18"/>
  <c r="F4" i="18"/>
  <c r="J15" i="18"/>
  <c r="J9" i="18"/>
  <c r="I12" i="18"/>
  <c r="I15" i="18"/>
  <c r="F3" i="18"/>
  <c r="I9" i="18"/>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CE01403-E04D-469D-978E-E81A91E518C6}" keepAlive="1" name="Query - Brokerage" description="Connection to the 'Brokerage' query in the workbook." type="5" refreshedVersion="8" background="1" saveData="1">
    <dbPr connection="Provider=Microsoft.Mashup.OleDb.1;Data Source=$Workbook$;Location=Brokerage;Extended Properties=&quot;&quot;" command="SELECT * FROM [Brokerage]"/>
  </connection>
  <connection id="2" xr16:uid="{19685D47-8F11-44CD-BCCE-CE9F37979DDE}" keepAlive="1" name="Query - Fees" description="Connection to the 'Fees' query in the workbook." type="5" refreshedVersion="8" background="1" saveData="1">
    <dbPr connection="Provider=Microsoft.Mashup.OleDb.1;Data Source=$Workbook$;Location=Fees;Extended Properties=&quot;&quot;" command="SELECT * FROM [Fees]"/>
  </connection>
  <connection id="3" xr16:uid="{0F45E8D5-46BA-4D28-8988-6A7BF4BA2C15}" keepAlive="1" name="Query - Individual Budget" description="Connection to the 'Individual Budget' query in the workbook." type="5" refreshedVersion="8" background="1" saveData="1">
    <dbPr connection="Provider=Microsoft.Mashup.OleDb.1;Data Source=$Workbook$;Location=&quot;Individual Budget&quot;;Extended Properties=&quot;&quot;" command="SELECT * FROM [Individual Budget]"/>
  </connection>
  <connection id="4" xr16:uid="{4B98C5A6-882F-4AF1-AC6B-DEE591D338A3}" keepAlive="1" name="Query - Invoice" description="Connection to the 'Invoice' query in the workbook." type="5" refreshedVersion="8" background="1" saveData="1">
    <dbPr connection="Provider=Microsoft.Mashup.OleDb.1;Data Source=$Workbook$;Location=Invoice;Extended Properties=&quot;&quot;" command="SELECT * FROM [Invoice]"/>
  </connection>
  <connection id="5" xr16:uid="{FA465BD8-2D46-4B1B-ADB0-B13F2A1376CA}" keepAlive="1" name="Query - Master Table" description="Connection to the 'Master Table' query in the workbook." type="5" refreshedVersion="8" background="1" saveData="1">
    <dbPr connection="Provider=Microsoft.Mashup.OleDb.1;Data Source=$Workbook$;Location=&quot;Master Table&quot;;Extended Properties=&quot;&quot;" command="SELECT * FROM [Master Table]"/>
  </connection>
  <connection id="6" xr16:uid="{48EF98FA-2596-4397-9CD2-8CA8DC9F30B7}" keepAlive="1" name="Query - Meeting" description="Connection to the 'Meeting' query in the workbook." type="5" refreshedVersion="8" background="1" saveData="1">
    <dbPr connection="Provider=Microsoft.Mashup.OleDb.1;Data Source=$Workbook$;Location=Meeting;Extended Properties=&quot;&quot;" command="SELECT * FROM [Meeting]"/>
  </connection>
  <connection id="7" xr16:uid="{EE23C0FD-05E0-4227-AFDB-593EFFA557EB}" keepAlive="1" name="Query - Opportunity" description="Connection to the 'Opportunity' query in the workbook." type="5" refreshedVersion="8" background="1" saveData="1">
    <dbPr connection="Provider=Microsoft.Mashup.OleDb.1;Data Source=$Workbook$;Location=Opportunity;Extended Properties=&quot;&quot;" command="SELECT * FROM [Opportunity]"/>
  </connection>
</connections>
</file>

<file path=xl/sharedStrings.xml><?xml version="1.0" encoding="utf-8"?>
<sst xmlns="http://schemas.openxmlformats.org/spreadsheetml/2006/main" count="2375" uniqueCount="422">
  <si>
    <t>client_name</t>
  </si>
  <si>
    <t>policy_number</t>
  </si>
  <si>
    <t>policy_status</t>
  </si>
  <si>
    <t>policy_start_date</t>
  </si>
  <si>
    <t>policy_end_date</t>
  </si>
  <si>
    <t>product_group</t>
  </si>
  <si>
    <t>Account Id</t>
  </si>
  <si>
    <t>Account Exe ID</t>
  </si>
  <si>
    <t>branch_name</t>
  </si>
  <si>
    <t>solution_group</t>
  </si>
  <si>
    <t>income_class</t>
  </si>
  <si>
    <t>Amount</t>
  </si>
  <si>
    <t>income_due_date</t>
  </si>
  <si>
    <t>revenue_transaction_type</t>
  </si>
  <si>
    <t>renewal_status</t>
  </si>
  <si>
    <t>lapse_reason</t>
  </si>
  <si>
    <t>last_updated_date</t>
  </si>
  <si>
    <t>A</t>
  </si>
  <si>
    <t>2414 2022 4088 1000 000</t>
  </si>
  <si>
    <t>Active</t>
  </si>
  <si>
    <t>Marine</t>
  </si>
  <si>
    <t>Vinay</t>
  </si>
  <si>
    <t>Ahmedabad</t>
  </si>
  <si>
    <t>Renewal</t>
  </si>
  <si>
    <t>Brokerage</t>
  </si>
  <si>
    <t>Inception</t>
  </si>
  <si>
    <t>Amit</t>
  </si>
  <si>
    <t>Abhinav Shivam</t>
  </si>
  <si>
    <t>New</t>
  </si>
  <si>
    <t>B</t>
  </si>
  <si>
    <t>0655001825 01</t>
  </si>
  <si>
    <t>Inactive</t>
  </si>
  <si>
    <t>Fire</t>
  </si>
  <si>
    <t>Construction, Power &amp; Infrastructure</t>
  </si>
  <si>
    <t>Miscellaneous</t>
  </si>
  <si>
    <t>Liability</t>
  </si>
  <si>
    <t>C</t>
  </si>
  <si>
    <t>237164239 00</t>
  </si>
  <si>
    <t>Employee Benefits</t>
  </si>
  <si>
    <t>Mark</t>
  </si>
  <si>
    <t>Employee Benefits (EB)</t>
  </si>
  <si>
    <t>D</t>
  </si>
  <si>
    <t>4101190700000015-00</t>
  </si>
  <si>
    <t>Endorsement</t>
  </si>
  <si>
    <t>E</t>
  </si>
  <si>
    <t>Property / BI</t>
  </si>
  <si>
    <t>F</t>
  </si>
  <si>
    <t>G</t>
  </si>
  <si>
    <t>0865074115 01</t>
  </si>
  <si>
    <t>Manish Sharma</t>
  </si>
  <si>
    <t>Small Medium Enterpries (SME)</t>
  </si>
  <si>
    <t>H</t>
  </si>
  <si>
    <t>Animesh Rawat</t>
  </si>
  <si>
    <t>Global Client Network (GNB Inward)</t>
  </si>
  <si>
    <t>Cross Sell</t>
  </si>
  <si>
    <t>OG-19-2202-1018-00000055</t>
  </si>
  <si>
    <t>OG-19-2202-3383-00000009</t>
  </si>
  <si>
    <t>I</t>
  </si>
  <si>
    <t>180876-0000-01</t>
  </si>
  <si>
    <t>Shivani Sharma</t>
  </si>
  <si>
    <t>J</t>
  </si>
  <si>
    <t>0865078325 00</t>
  </si>
  <si>
    <t>K</t>
  </si>
  <si>
    <t>'310300111910000401</t>
  </si>
  <si>
    <t>L</t>
  </si>
  <si>
    <t>Ketan Jain</t>
  </si>
  <si>
    <t>M</t>
  </si>
  <si>
    <t>N</t>
  </si>
  <si>
    <t>0830018899Â 01</t>
  </si>
  <si>
    <t>OG-19-2202-1018-00000059</t>
  </si>
  <si>
    <t>O</t>
  </si>
  <si>
    <t>OG-19-2001-3315-00000015</t>
  </si>
  <si>
    <t>P</t>
  </si>
  <si>
    <t>4005/134645920/01/000</t>
  </si>
  <si>
    <t>4005/134645920/02/000</t>
  </si>
  <si>
    <t>4016/133979727/02/000</t>
  </si>
  <si>
    <t>q</t>
  </si>
  <si>
    <t>2002/160040691/00/000</t>
  </si>
  <si>
    <t>Juli</t>
  </si>
  <si>
    <t>R</t>
  </si>
  <si>
    <t>'14220011190100000062</t>
  </si>
  <si>
    <t>Raju Kumar</t>
  </si>
  <si>
    <t>o</t>
  </si>
  <si>
    <t>2690000138 04</t>
  </si>
  <si>
    <t>T</t>
  </si>
  <si>
    <t>Trade Credit &amp;amp; Political Risk</t>
  </si>
  <si>
    <t>U</t>
  </si>
  <si>
    <t>'23060036180200000022</t>
  </si>
  <si>
    <t>V</t>
  </si>
  <si>
    <t>141400/11/2018/737</t>
  </si>
  <si>
    <t>AA</t>
  </si>
  <si>
    <t>'91000036191500000014</t>
  </si>
  <si>
    <t>'91000036191700000002</t>
  </si>
  <si>
    <t>BB</t>
  </si>
  <si>
    <t>OG-19-2202-1018-00000053</t>
  </si>
  <si>
    <t>OG-19-2202-3383-00000008</t>
  </si>
  <si>
    <t>S</t>
  </si>
  <si>
    <t>2018-F0541357-FRE</t>
  </si>
  <si>
    <t>Engineering</t>
  </si>
  <si>
    <t>EE</t>
  </si>
  <si>
    <t>FM00104260000100</t>
  </si>
  <si>
    <t>Vididt Saha</t>
  </si>
  <si>
    <t>2412/202063061201000</t>
  </si>
  <si>
    <t>0000000008502066-01</t>
  </si>
  <si>
    <t>4101190600000030-00</t>
  </si>
  <si>
    <t>OG-20-2202-0425-00000017</t>
  </si>
  <si>
    <t>OG-20-2202-3304-00000009</t>
  </si>
  <si>
    <t>OG-20-2202-3315-00000012</t>
  </si>
  <si>
    <t>OG-20-2202-3383-00000002</t>
  </si>
  <si>
    <t>OG-20-2202-4002-00000010</t>
  </si>
  <si>
    <t>OG-20-2202-4004-00000062</t>
  </si>
  <si>
    <t>OG-20-2202-4004-00000064</t>
  </si>
  <si>
    <t>OG-20-2202-4010-00000869</t>
  </si>
  <si>
    <t>OG-20-2202-9931-00032558</t>
  </si>
  <si>
    <t>0301004728-2019</t>
  </si>
  <si>
    <t>0600010004 01</t>
  </si>
  <si>
    <t>0600010004 02</t>
  </si>
  <si>
    <t>0640002231 03</t>
  </si>
  <si>
    <t>0640002231 04</t>
  </si>
  <si>
    <t>32099602-01</t>
  </si>
  <si>
    <t>OG-19-2202-1018-00000047</t>
  </si>
  <si>
    <t>ABC</t>
  </si>
  <si>
    <t>'0300004329</t>
  </si>
  <si>
    <t>'0304001755</t>
  </si>
  <si>
    <t>'0655001664 03</t>
  </si>
  <si>
    <t>0830016972 02</t>
  </si>
  <si>
    <t>'2302003268</t>
  </si>
  <si>
    <t>2018-F0513845-BSS</t>
  </si>
  <si>
    <t>2019-L0138835-FWC</t>
  </si>
  <si>
    <t>2019-L0139704-PBL</t>
  </si>
  <si>
    <t>0000000008907502-01</t>
  </si>
  <si>
    <t>020P000098803000</t>
  </si>
  <si>
    <t>TT</t>
  </si>
  <si>
    <t>OG-18-2202-4091-00000964</t>
  </si>
  <si>
    <t>YB00020403000100</t>
  </si>
  <si>
    <t>2999202758217600000"</t>
  </si>
  <si>
    <t>XYZ</t>
  </si>
  <si>
    <t>Gilbert</t>
  </si>
  <si>
    <t>1003/126704810/02/000</t>
  </si>
  <si>
    <t>2304001082-01</t>
  </si>
  <si>
    <t>2600015265 00</t>
  </si>
  <si>
    <t>4001/117090005/03/000</t>
  </si>
  <si>
    <t>4092/151965577/01/000</t>
  </si>
  <si>
    <t>ER00004563000100</t>
  </si>
  <si>
    <t>OG-19-2202-1002-00001901</t>
  </si>
  <si>
    <t>OG-19-2202-1002-00001981</t>
  </si>
  <si>
    <t>OG-19-2202-4001-00011127</t>
  </si>
  <si>
    <t>OG-19-2202-4010-00002245</t>
  </si>
  <si>
    <t>'001P000202300000</t>
  </si>
  <si>
    <t>'001P000203500000</t>
  </si>
  <si>
    <t>'11120044180300000011</t>
  </si>
  <si>
    <t>SRE</t>
  </si>
  <si>
    <t>2002/174911788/00/000</t>
  </si>
  <si>
    <t>0301004265-1</t>
  </si>
  <si>
    <t>2412 2020 7182 9001 000</t>
  </si>
  <si>
    <t>4101191100000008-00</t>
  </si>
  <si>
    <t>OG-20-2202-4004-00000043</t>
  </si>
  <si>
    <t>DDD</t>
  </si>
  <si>
    <t>0865082088 00</t>
  </si>
  <si>
    <t>0000000007404252-02</t>
  </si>
  <si>
    <t>0000000010619837-01</t>
  </si>
  <si>
    <t>1011/142530053/01/000</t>
  </si>
  <si>
    <t>4006/131284920/02/000</t>
  </si>
  <si>
    <t>4016 138636598 02 000</t>
  </si>
  <si>
    <t>5002/131802941/02/000</t>
  </si>
  <si>
    <t>NBI Domestic</t>
  </si>
  <si>
    <t>OG-19-2202-1018-00000052</t>
  </si>
  <si>
    <t>OG-19-2202-3383-00000007</t>
  </si>
  <si>
    <t>'99000011180100000303</t>
  </si>
  <si>
    <t>'99000011180100000339</t>
  </si>
  <si>
    <t>'99000011180100000340</t>
  </si>
  <si>
    <t>'99000021180100000013</t>
  </si>
  <si>
    <t>'99000036181500000054</t>
  </si>
  <si>
    <t>'99000044180300000047</t>
  </si>
  <si>
    <t>'99000044180300000048</t>
  </si>
  <si>
    <t>'99000044180300000076</t>
  </si>
  <si>
    <t>'99000044180300000078</t>
  </si>
  <si>
    <t>'99000044180700000012</t>
  </si>
  <si>
    <t>'99000044185800000014</t>
  </si>
  <si>
    <t>'99000044190300000004</t>
  </si>
  <si>
    <t>'99000044190700000001</t>
  </si>
  <si>
    <t>'99000046192400000001</t>
  </si>
  <si>
    <t>'99000046192400000039</t>
  </si>
  <si>
    <t>LAP</t>
  </si>
  <si>
    <t>0865000748 01</t>
  </si>
  <si>
    <t>Emerging Corporates Group (ECG)</t>
  </si>
  <si>
    <t>MCO/I3350570/71/01/006343</t>
  </si>
  <si>
    <t>PFS/I3353707/71/01/006343</t>
  </si>
  <si>
    <t>H0048996</t>
  </si>
  <si>
    <t>H0056637</t>
  </si>
  <si>
    <t>4016/120415654/03/00</t>
  </si>
  <si>
    <t>AG00059046000100</t>
  </si>
  <si>
    <t>OG-20-2202-3315-00000009</t>
  </si>
  <si>
    <t>P0019200001/9999/100301</t>
  </si>
  <si>
    <t>OG-19-2202-1018-00000060</t>
  </si>
  <si>
    <t>OG-19-2202-1005-00000153</t>
  </si>
  <si>
    <t>OG-20-2202-1005-00000171-2019</t>
  </si>
  <si>
    <t>OG-20-2202-4097-00000170</t>
  </si>
  <si>
    <t>OG-20-2202-4097-00000171</t>
  </si>
  <si>
    <t>OG-20-2202-4097-00000201</t>
  </si>
  <si>
    <t>ZZ</t>
  </si>
  <si>
    <t>100200080123/01/00</t>
  </si>
  <si>
    <t>LPGPA0000000200/01</t>
  </si>
  <si>
    <t>OG-19-2202-1018-00000054</t>
  </si>
  <si>
    <t>OG-19-2202-3383-00000010</t>
  </si>
  <si>
    <t>505373-01</t>
  </si>
  <si>
    <t>H0067187</t>
  </si>
  <si>
    <t>Account Executive</t>
  </si>
  <si>
    <t>Fees</t>
  </si>
  <si>
    <t>New Budget</t>
  </si>
  <si>
    <t>Cross sell bugdet</t>
  </si>
  <si>
    <t>Renewal Budget</t>
  </si>
  <si>
    <t>Vidit Shah</t>
  </si>
  <si>
    <t>invoice_number</t>
  </si>
  <si>
    <t>invoice_date</t>
  </si>
  <si>
    <t>Neel Jain</t>
  </si>
  <si>
    <t>Divya Dhingra</t>
  </si>
  <si>
    <t>Shloka Shelat</t>
  </si>
  <si>
    <t>Ankita Shah</t>
  </si>
  <si>
    <t>W</t>
  </si>
  <si>
    <t>Gautam Murkunde</t>
  </si>
  <si>
    <t>Shobhit Agarwal</t>
  </si>
  <si>
    <t>TBA</t>
  </si>
  <si>
    <t>opportunity_name</t>
  </si>
  <si>
    <t>opportunity_id</t>
  </si>
  <si>
    <t>premium_amount</t>
  </si>
  <si>
    <t>revenue_amount</t>
  </si>
  <si>
    <t>closing_date</t>
  </si>
  <si>
    <t>stage</t>
  </si>
  <si>
    <t>branch</t>
  </si>
  <si>
    <t>specialty</t>
  </si>
  <si>
    <t>product_sub_group</t>
  </si>
  <si>
    <t>risk_details</t>
  </si>
  <si>
    <t>EL-Group Mediclaim</t>
  </si>
  <si>
    <t>OPP1900001042</t>
  </si>
  <si>
    <t>Qualify Opportunity</t>
  </si>
  <si>
    <t>Mediclaim</t>
  </si>
  <si>
    <t>Group Medical</t>
  </si>
  <si>
    <t>AL GPA</t>
  </si>
  <si>
    <t>OPP1900001047</t>
  </si>
  <si>
    <t>Group Personal Accident</t>
  </si>
  <si>
    <t>BL - Marine STOP</t>
  </si>
  <si>
    <t>OPP1900001048</t>
  </si>
  <si>
    <t>Marine Hull</t>
  </si>
  <si>
    <t>Charterers' Liability Policy</t>
  </si>
  <si>
    <t>II-Marine</t>
  </si>
  <si>
    <t>OPP1900001050</t>
  </si>
  <si>
    <t>PIL-Credit Insurance</t>
  </si>
  <si>
    <t>OPP1900001051</t>
  </si>
  <si>
    <t>Trade Credit Insurance</t>
  </si>
  <si>
    <t>PIL-CGL</t>
  </si>
  <si>
    <t>OPP1900001052</t>
  </si>
  <si>
    <t>Financial Lines</t>
  </si>
  <si>
    <t>Commercial General Liability</t>
  </si>
  <si>
    <t>PIL -Marine</t>
  </si>
  <si>
    <t>OPP1900001053</t>
  </si>
  <si>
    <t>SGL- GMC</t>
  </si>
  <si>
    <t>OPP1900001054</t>
  </si>
  <si>
    <t>Sandesh - Marine</t>
  </si>
  <si>
    <t>OPP1900001055</t>
  </si>
  <si>
    <t>VS.-Marine</t>
  </si>
  <si>
    <t>OPP1900001056</t>
  </si>
  <si>
    <t>II -  GMC</t>
  </si>
  <si>
    <t>OPP1900001057</t>
  </si>
  <si>
    <t>II - GPA</t>
  </si>
  <si>
    <t>OPP1900001058</t>
  </si>
  <si>
    <t>G R -GMC</t>
  </si>
  <si>
    <t>OPP1900001072</t>
  </si>
  <si>
    <t>DB- Cyber Liability</t>
  </si>
  <si>
    <t>OPP1900001138</t>
  </si>
  <si>
    <t>Cyber Liability Insurance</t>
  </si>
  <si>
    <t>KB GMC</t>
  </si>
  <si>
    <t>OPP1900001222</t>
  </si>
  <si>
    <t>EI- GMC</t>
  </si>
  <si>
    <t>OPP1900001364</t>
  </si>
  <si>
    <t>CVP GMC</t>
  </si>
  <si>
    <t>OPP1900001365</t>
  </si>
  <si>
    <t>Sin GMC</t>
  </si>
  <si>
    <t>OPP1900001366</t>
  </si>
  <si>
    <t>Negotiate</t>
  </si>
  <si>
    <t>FM-Group Mediclaim</t>
  </si>
  <si>
    <t>OPP1900001390</t>
  </si>
  <si>
    <t>Stem GMC</t>
  </si>
  <si>
    <t>OPP1900001391</t>
  </si>
  <si>
    <t>DS- Employees GMC</t>
  </si>
  <si>
    <t>OPP1900001392</t>
  </si>
  <si>
    <t>BVGMC</t>
  </si>
  <si>
    <t>OPP1900001393</t>
  </si>
  <si>
    <t>BV GPA</t>
  </si>
  <si>
    <t>OPP1900001394</t>
  </si>
  <si>
    <t>GL-CGL</t>
  </si>
  <si>
    <t>OPP1900001655</t>
  </si>
  <si>
    <t>GL-Crime</t>
  </si>
  <si>
    <t>OPP1900001656</t>
  </si>
  <si>
    <t>Commercial Crime Insurance</t>
  </si>
  <si>
    <t>OP-GMC</t>
  </si>
  <si>
    <t>OPP1900001803</t>
  </si>
  <si>
    <t>OPP1900001843</t>
  </si>
  <si>
    <t>Marine Cargo</t>
  </si>
  <si>
    <t>Marine Combo policy ( EXIM +Inland)</t>
  </si>
  <si>
    <t>ITNL - IAR (Operational Roads)</t>
  </si>
  <si>
    <t>OPP1900001906</t>
  </si>
  <si>
    <t>Constructions &amp;amp; Infrastructure</t>
  </si>
  <si>
    <t>Industrial All Risks</t>
  </si>
  <si>
    <t>Maine Open</t>
  </si>
  <si>
    <t>OPP1900001923</t>
  </si>
  <si>
    <t>Propose Solution</t>
  </si>
  <si>
    <t>BD PDBI</t>
  </si>
  <si>
    <t>OPP1900001937</t>
  </si>
  <si>
    <t>Fire &amp;amp; Special Perils</t>
  </si>
  <si>
    <t>CI-CAR/EAR Policy</t>
  </si>
  <si>
    <t>OPP1900001938</t>
  </si>
  <si>
    <t>Contractors All Risk</t>
  </si>
  <si>
    <t>Sandesh - PDBI</t>
  </si>
  <si>
    <t>OPP1900001939</t>
  </si>
  <si>
    <t>VS-PDBI</t>
  </si>
  <si>
    <t>OPP1900001940</t>
  </si>
  <si>
    <t>ag - Property Insurance</t>
  </si>
  <si>
    <t>OPP1900001941</t>
  </si>
  <si>
    <t>BE-Mega policy</t>
  </si>
  <si>
    <t>OPP1900001942</t>
  </si>
  <si>
    <t>BC - PDBI</t>
  </si>
  <si>
    <t>OPP1900001943</t>
  </si>
  <si>
    <t>CP-PDBI</t>
  </si>
  <si>
    <t>OPP1900001944</t>
  </si>
  <si>
    <t>DB -Mega Policy</t>
  </si>
  <si>
    <t>OPP1900001945</t>
  </si>
  <si>
    <t>DB -Terrorism Policy</t>
  </si>
  <si>
    <t>OPP1900001946</t>
  </si>
  <si>
    <t>Crises Mgmt / Terr / Political Risks / K&amp;amp;R</t>
  </si>
  <si>
    <t>Terrorism</t>
  </si>
  <si>
    <t>Political Risks</t>
  </si>
  <si>
    <t>SABOTAGE &amp;amp; TERRORISM &amp;amp; Political Violence</t>
  </si>
  <si>
    <t>KG-CAR</t>
  </si>
  <si>
    <t>OPP1900001947</t>
  </si>
  <si>
    <t>G R -CAR</t>
  </si>
  <si>
    <t>OPP1900001950</t>
  </si>
  <si>
    <t>SI-CAR</t>
  </si>
  <si>
    <t>OPP1900001975</t>
  </si>
  <si>
    <t>GRTC-CAR</t>
  </si>
  <si>
    <t>OPP1900001976</t>
  </si>
  <si>
    <t>PDBI</t>
  </si>
  <si>
    <t>OPP1900002004</t>
  </si>
  <si>
    <t>Infra-CAR</t>
  </si>
  <si>
    <t>OPP1900002039</t>
  </si>
  <si>
    <t>OPP1900002070</t>
  </si>
  <si>
    <t>PI(Operational Road)</t>
  </si>
  <si>
    <t>OPP1900002092</t>
  </si>
  <si>
    <t>SFSP</t>
  </si>
  <si>
    <t>OPP1900002098</t>
  </si>
  <si>
    <t>VS.-D &amp; O</t>
  </si>
  <si>
    <t>OPP1900002104</t>
  </si>
  <si>
    <t>Director &amp;amp; Officers / Management  Liability</t>
  </si>
  <si>
    <t>global_attendees</t>
  </si>
  <si>
    <t>meeting_date</t>
  </si>
  <si>
    <t>Mahendra</t>
  </si>
  <si>
    <t>Akash</t>
  </si>
  <si>
    <t>Shivam</t>
  </si>
  <si>
    <t>Surya</t>
  </si>
  <si>
    <t>Muralidharan VS</t>
  </si>
  <si>
    <t>Srikanth Boddu</t>
  </si>
  <si>
    <t>Ganesh H</t>
  </si>
  <si>
    <t>Usha G</t>
  </si>
  <si>
    <t>Harsha</t>
  </si>
  <si>
    <t>jamuna</t>
  </si>
  <si>
    <t>Jeyaraman N, Srikanth Boddu</t>
  </si>
  <si>
    <t>Ankush</t>
  </si>
  <si>
    <t>Sanskriti</t>
  </si>
  <si>
    <t>Aditya</t>
  </si>
  <si>
    <t>Jeyaraman N, Chitra S</t>
  </si>
  <si>
    <t>Jeyaraman N</t>
  </si>
  <si>
    <t>Row Labels</t>
  </si>
  <si>
    <t>(blank)</t>
  </si>
  <si>
    <t>Grand Total</t>
  </si>
  <si>
    <t>Count of invoice_date</t>
  </si>
  <si>
    <t>2414202781173700100</t>
  </si>
  <si>
    <t>2250010276</t>
  </si>
  <si>
    <t>2280062933</t>
  </si>
  <si>
    <t>3114202963436199900</t>
  </si>
  <si>
    <t>640002371</t>
  </si>
  <si>
    <t>301002850</t>
  </si>
  <si>
    <t>2412201937457200100</t>
  </si>
  <si>
    <t>30003393</t>
  </si>
  <si>
    <t>302102591</t>
  </si>
  <si>
    <t>41045915</t>
  </si>
  <si>
    <t>15552994</t>
  </si>
  <si>
    <t>304003070</t>
  </si>
  <si>
    <t>Column Labels</t>
  </si>
  <si>
    <t>Count of meeting_date</t>
  </si>
  <si>
    <t>Account Exe Id2</t>
  </si>
  <si>
    <t>Count of opportunity_name</t>
  </si>
  <si>
    <t>Sum of revenue_amount</t>
  </si>
  <si>
    <t>Sum of Amount</t>
  </si>
  <si>
    <t>2019</t>
  </si>
  <si>
    <t>2020</t>
  </si>
  <si>
    <t>Oct</t>
  </si>
  <si>
    <t>Dec</t>
  </si>
  <si>
    <t>Jan</t>
  </si>
  <si>
    <t>Invoice</t>
  </si>
  <si>
    <t>Achievement</t>
  </si>
  <si>
    <t>Target</t>
  </si>
  <si>
    <t>Cross Sell Placd Ach %</t>
  </si>
  <si>
    <t>Cross Sell Invoice Ach %</t>
  </si>
  <si>
    <t>New Placd Ach %</t>
  </si>
  <si>
    <t>New Invoice Ach %</t>
  </si>
  <si>
    <t>Renewal Placd Ach %</t>
  </si>
  <si>
    <t>Renewal Invoice Ach %</t>
  </si>
  <si>
    <t>INVOICE</t>
  </si>
  <si>
    <t>ACHIEVEMENT</t>
  </si>
  <si>
    <t>Percentage of Achievement for Placed and Invoice</t>
  </si>
  <si>
    <t>FEES</t>
  </si>
  <si>
    <t>(All)</t>
  </si>
  <si>
    <t>BROKERAGE</t>
  </si>
  <si>
    <t>TARGET BUDGET</t>
  </si>
  <si>
    <t>Sum of New Budget</t>
  </si>
  <si>
    <t>Sum of Cross sell bugdet</t>
  </si>
  <si>
    <t>Sum of Renewal Budget</t>
  </si>
  <si>
    <t>20.08 Mn</t>
  </si>
  <si>
    <t>13.04 Mn</t>
  </si>
  <si>
    <t>2.85 Mn</t>
  </si>
  <si>
    <t>Total Open Opportunity</t>
  </si>
  <si>
    <t>Total Opportunity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</si>
</sst>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 &quot;Mn&quot;"/>
  </numFmts>
  <fonts count="10" x14ac:knownFonts="1">
    <font>
      <sz val="11"/>
      <color theme="1"/>
      <name val="Calibri"/>
      <family val="2"/>
      <scheme val="minor"/>
    </font>
    <font>
      <sz val="11"/>
      <color theme="1"/>
      <name val="Calibri"/>
      <family val="2"/>
      <scheme val="minor"/>
    </font>
    <font>
      <b/>
      <sz val="11"/>
      <color theme="1"/>
      <name val="Calibri"/>
      <family val="2"/>
      <scheme val="minor"/>
    </font>
    <font>
      <sz val="8"/>
      <name val="Calibri"/>
      <family val="2"/>
      <scheme val="minor"/>
    </font>
    <font>
      <b/>
      <sz val="20"/>
      <color theme="1"/>
      <name val="Calibri"/>
      <family val="2"/>
      <scheme val="minor"/>
    </font>
    <font>
      <sz val="20"/>
      <color theme="1"/>
      <name val="Calibri"/>
      <family val="2"/>
      <scheme val="minor"/>
    </font>
    <font>
      <b/>
      <sz val="11"/>
      <color rgb="FFFF0000"/>
      <name val="Calibri"/>
      <family val="2"/>
      <scheme val="minor"/>
    </font>
    <font>
      <b/>
      <sz val="16"/>
      <color theme="0"/>
      <name val="Calibri"/>
      <family val="2"/>
      <scheme val="minor"/>
    </font>
    <font>
      <b/>
      <sz val="16"/>
      <color theme="1"/>
      <name val="Calibri"/>
      <family val="2"/>
      <scheme val="minor"/>
    </font>
    <font>
      <b/>
      <sz val="18"/>
      <color theme="1"/>
      <name val="Calibri"/>
      <family val="2"/>
      <scheme val="minor"/>
    </font>
  </fonts>
  <fills count="8">
    <fill>
      <patternFill patternType="none"/>
    </fill>
    <fill>
      <patternFill patternType="gray125"/>
    </fill>
    <fill>
      <patternFill patternType="solid">
        <fgColor theme="4" tint="0.79998168889431442"/>
        <bgColor theme="4" tint="0.79998168889431442"/>
      </patternFill>
    </fill>
    <fill>
      <patternFill patternType="solid">
        <fgColor theme="4" tint="0.79998168889431442"/>
        <bgColor indexed="64"/>
      </patternFill>
    </fill>
    <fill>
      <patternFill patternType="solid">
        <fgColor theme="1"/>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0"/>
        <bgColor indexed="64"/>
      </patternFill>
    </fill>
  </fills>
  <borders count="11">
    <border>
      <left/>
      <right/>
      <top/>
      <bottom/>
      <diagonal/>
    </border>
    <border>
      <left/>
      <right/>
      <top/>
      <bottom style="thin">
        <color theme="4" tint="0.39997558519241921"/>
      </bottom>
      <diagonal/>
    </border>
    <border>
      <left/>
      <right/>
      <top style="thin">
        <color theme="4" tint="0.39997558519241921"/>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top style="thin">
        <color indexed="64"/>
      </top>
      <bottom/>
      <diagonal/>
    </border>
  </borders>
  <cellStyleXfs count="2">
    <xf numFmtId="0" fontId="0" fillId="0" borderId="0"/>
    <xf numFmtId="9" fontId="1" fillId="0" borderId="0" applyFont="0" applyFill="0" applyBorder="0" applyAlignment="0" applyProtection="0"/>
  </cellStyleXfs>
  <cellXfs count="45">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2" fontId="0" fillId="0" borderId="0" xfId="0" applyNumberFormat="1"/>
    <xf numFmtId="0" fontId="5" fillId="3" borderId="3" xfId="0" applyFont="1" applyFill="1" applyBorder="1"/>
    <xf numFmtId="164" fontId="5" fillId="0" borderId="3" xfId="0" applyNumberFormat="1" applyFont="1" applyBorder="1"/>
    <xf numFmtId="0" fontId="6" fillId="4" borderId="3" xfId="0" applyFont="1" applyFill="1" applyBorder="1"/>
    <xf numFmtId="10" fontId="2" fillId="0" borderId="3" xfId="1" applyNumberFormat="1" applyFont="1" applyBorder="1" applyAlignment="1">
      <alignment horizontal="center"/>
    </xf>
    <xf numFmtId="0" fontId="0" fillId="0" borderId="3" xfId="0" applyBorder="1"/>
    <xf numFmtId="0" fontId="0" fillId="0" borderId="3" xfId="0" applyBorder="1" applyAlignment="1">
      <alignment horizontal="left"/>
    </xf>
    <xf numFmtId="2" fontId="0" fillId="0" borderId="3" xfId="0" applyNumberFormat="1" applyBorder="1"/>
    <xf numFmtId="0" fontId="0" fillId="0" borderId="5" xfId="0" applyBorder="1"/>
    <xf numFmtId="0" fontId="0" fillId="0" borderId="8" xfId="0" applyBorder="1" applyAlignment="1">
      <alignment horizontal="left"/>
    </xf>
    <xf numFmtId="0" fontId="0" fillId="0" borderId="8" xfId="0" applyBorder="1"/>
    <xf numFmtId="0" fontId="0" fillId="0" borderId="5" xfId="0" applyBorder="1" applyAlignment="1">
      <alignment horizontal="left"/>
    </xf>
    <xf numFmtId="0" fontId="0" fillId="0" borderId="5" xfId="0" pivotButton="1" applyBorder="1"/>
    <xf numFmtId="0" fontId="0" fillId="0" borderId="3" xfId="0" pivotButton="1" applyBorder="1"/>
    <xf numFmtId="10" fontId="8" fillId="0" borderId="3" xfId="1" applyNumberFormat="1" applyFont="1" applyBorder="1" applyAlignment="1">
      <alignment horizontal="center"/>
    </xf>
    <xf numFmtId="0" fontId="7" fillId="4" borderId="3" xfId="0" applyFont="1" applyFill="1" applyBorder="1" applyAlignment="1">
      <alignment horizontal="center"/>
    </xf>
    <xf numFmtId="0" fontId="7" fillId="4" borderId="3" xfId="0" applyFont="1" applyFill="1" applyBorder="1" applyAlignment="1">
      <alignment horizontal="center" vertical="center" wrapText="1"/>
    </xf>
    <xf numFmtId="10" fontId="8" fillId="0" borderId="3" xfId="1" applyNumberFormat="1" applyFont="1" applyBorder="1" applyAlignment="1">
      <alignment horizontal="center" vertical="center"/>
    </xf>
    <xf numFmtId="0" fontId="7" fillId="4" borderId="3" xfId="0" applyFont="1" applyFill="1" applyBorder="1" applyAlignment="1">
      <alignment horizontal="center" vertical="center"/>
    </xf>
    <xf numFmtId="0" fontId="5" fillId="3" borderId="3" xfId="0" applyFont="1" applyFill="1" applyBorder="1" applyAlignment="1">
      <alignment wrapText="1"/>
    </xf>
    <xf numFmtId="164" fontId="5" fillId="0" borderId="3" xfId="0" applyNumberFormat="1" applyFont="1" applyBorder="1" applyAlignment="1">
      <alignment horizontal="right"/>
    </xf>
    <xf numFmtId="0" fontId="5" fillId="7" borderId="3" xfId="0" applyFont="1" applyFill="1" applyBorder="1" applyAlignment="1">
      <alignment horizontal="right"/>
    </xf>
    <xf numFmtId="0" fontId="0" fillId="0" borderId="0" xfId="0" applyAlignment="1">
      <alignment wrapText="1"/>
    </xf>
    <xf numFmtId="0" fontId="0" fillId="0" borderId="0" xfId="0" applyAlignment="1">
      <alignment vertical="center"/>
    </xf>
    <xf numFmtId="0" fontId="9" fillId="0" borderId="0" xfId="0" applyFont="1" applyAlignment="1">
      <alignment horizontal="center" wrapText="1"/>
    </xf>
    <xf numFmtId="0" fontId="8" fillId="2" borderId="1" xfId="0" applyFont="1" applyFill="1" applyBorder="1" applyAlignment="1">
      <alignment horizontal="center" vertical="center" wrapText="1"/>
    </xf>
    <xf numFmtId="0" fontId="2" fillId="3" borderId="6" xfId="0" applyFont="1" applyFill="1" applyBorder="1" applyAlignment="1">
      <alignment horizontal="center"/>
    </xf>
    <xf numFmtId="0" fontId="2" fillId="3" borderId="4" xfId="0" applyFont="1" applyFill="1" applyBorder="1" applyAlignment="1">
      <alignment horizontal="center"/>
    </xf>
    <xf numFmtId="0" fontId="2" fillId="3" borderId="7" xfId="0" applyFont="1" applyFill="1" applyBorder="1" applyAlignment="1">
      <alignment horizontal="center"/>
    </xf>
    <xf numFmtId="0" fontId="2" fillId="5" borderId="3" xfId="0" applyFont="1" applyFill="1" applyBorder="1" applyAlignment="1">
      <alignment horizontal="center" wrapText="1"/>
    </xf>
    <xf numFmtId="0" fontId="0" fillId="5" borderId="3" xfId="0" applyFill="1" applyBorder="1" applyAlignment="1">
      <alignment horizontal="center" wrapText="1"/>
    </xf>
    <xf numFmtId="0" fontId="2" fillId="5" borderId="4" xfId="0" applyFont="1" applyFill="1" applyBorder="1" applyAlignment="1">
      <alignment horizontal="center" wrapText="1"/>
    </xf>
    <xf numFmtId="0" fontId="2" fillId="6" borderId="0" xfId="0" applyFont="1" applyFill="1" applyAlignment="1">
      <alignment horizontal="center"/>
    </xf>
    <xf numFmtId="0" fontId="9" fillId="0" borderId="0" xfId="0" applyFont="1" applyAlignment="1">
      <alignment horizontal="center" vertical="center" wrapText="1"/>
    </xf>
    <xf numFmtId="0" fontId="9" fillId="2" borderId="10" xfId="0" applyFont="1" applyFill="1" applyBorder="1" applyAlignment="1">
      <alignment horizontal="center" vertical="center" wrapText="1"/>
    </xf>
    <xf numFmtId="0" fontId="9" fillId="0" borderId="2" xfId="0" applyFont="1" applyBorder="1" applyAlignment="1">
      <alignment horizontal="center" vertical="center"/>
    </xf>
    <xf numFmtId="0" fontId="9" fillId="0" borderId="0" xfId="0" applyFont="1" applyAlignment="1">
      <alignment horizontal="center" vertical="center"/>
    </xf>
    <xf numFmtId="0" fontId="4" fillId="3" borderId="9" xfId="0" applyFont="1" applyFill="1" applyBorder="1" applyAlignment="1">
      <alignment horizontal="center" wrapText="1"/>
    </xf>
    <xf numFmtId="0" fontId="4" fillId="3" borderId="7" xfId="0" applyFont="1" applyFill="1" applyBorder="1" applyAlignment="1">
      <alignment horizontal="center" wrapText="1"/>
    </xf>
    <xf numFmtId="0" fontId="0" fillId="0" borderId="0" xfId="0" applyNumberFormat="1"/>
  </cellXfs>
  <cellStyles count="2">
    <cellStyle name="Normal" xfId="0" builtinId="0"/>
    <cellStyle name="Percent" xfId="1" builtinId="5"/>
  </cellStyles>
  <dxfs count="52">
    <dxf>
      <numFmt numFmtId="2" formatCode="0.00"/>
    </dxf>
    <dxf>
      <numFmt numFmtId="2" formatCode="0.00"/>
    </dxf>
    <dxf>
      <numFmt numFmtId="2" formatCode="0.00"/>
    </dxf>
    <dxf>
      <numFmt numFmtId="2" formatCode="0.00"/>
    </dxf>
    <dxf>
      <numFmt numFmtId="2" formatCode="0.00"/>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19" formatCode="dd/mm/yyyy"/>
    </dxf>
    <dxf>
      <numFmt numFmtId="0" formatCode="General"/>
    </dxf>
    <dxf>
      <numFmt numFmtId="0" formatCode="General"/>
    </dxf>
    <dxf>
      <numFmt numFmtId="19" formatCode="dd/mm/yyyy"/>
    </dxf>
    <dxf>
      <numFmt numFmtId="19" formatCode="dd/mm/yyyy"/>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microsoft.com/office/2007/relationships/slicerCache" Target="slicerCaches/slicerCache2.xml"/><Relationship Id="rId26" Type="http://schemas.openxmlformats.org/officeDocument/2006/relationships/calcChain" Target="calcChain.xml"/><Relationship Id="rId3" Type="http://schemas.openxmlformats.org/officeDocument/2006/relationships/worksheet" Target="worksheets/sheet3.xml"/><Relationship Id="rId21" Type="http://schemas.microsoft.com/office/2011/relationships/timelineCache" Target="timelineCaches/timelineCache1.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microsoft.com/office/2007/relationships/slicerCache" Target="slicerCaches/slicerCache1.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pivotCacheDefinition" Target="pivotCache/pivotCacheDefinition5.xml"/><Relationship Id="rId20" Type="http://schemas.microsoft.com/office/2007/relationships/slicerCache" Target="slicerCaches/slicerCache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pivotCacheDefinition" Target="pivotCache/pivotCacheDefinition4.xml"/><Relationship Id="rId23" Type="http://schemas.openxmlformats.org/officeDocument/2006/relationships/connections" Target="connections.xml"/><Relationship Id="rId10" Type="http://schemas.openxmlformats.org/officeDocument/2006/relationships/worksheet" Target="worksheets/sheet10.xml"/><Relationship Id="rId19" Type="http://schemas.microsoft.com/office/2007/relationships/slicerCache" Target="slicerCaches/slicerCache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3.xml"/><Relationship Id="rId22" Type="http://schemas.openxmlformats.org/officeDocument/2006/relationships/theme" Target="theme/theme1.xml"/><Relationship Id="rId27"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  Analystics Project.xlsx]No. of Invoice!PivotTable3</c:name>
    <c:fmtId val="0"/>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'No. of Invoice'!$C$4:$C$5</c:f>
              <c:strCache>
                <c:ptCount val="1"/>
                <c:pt idx="0">
                  <c:v>Cross Sell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'No. of Invoice'!$B$6:$B$17</c:f>
              <c:strCache>
                <c:ptCount val="11"/>
                <c:pt idx="0">
                  <c:v>Divya Dhingra</c:v>
                </c:pt>
                <c:pt idx="1">
                  <c:v>Ankita Shah</c:v>
                </c:pt>
                <c:pt idx="2">
                  <c:v>Vidit Shah</c:v>
                </c:pt>
                <c:pt idx="3">
                  <c:v>Animesh Rawat</c:v>
                </c:pt>
                <c:pt idx="4">
                  <c:v>Vinay</c:v>
                </c:pt>
                <c:pt idx="5">
                  <c:v>Shobhit Agarwal</c:v>
                </c:pt>
                <c:pt idx="6">
                  <c:v>Abhinav Shivam</c:v>
                </c:pt>
                <c:pt idx="7">
                  <c:v>Shloka Shelat</c:v>
                </c:pt>
                <c:pt idx="8">
                  <c:v>Gautam Murkunde</c:v>
                </c:pt>
                <c:pt idx="9">
                  <c:v>Mark</c:v>
                </c:pt>
                <c:pt idx="10">
                  <c:v>Neel Jain</c:v>
                </c:pt>
              </c:strCache>
            </c:strRef>
          </c:cat>
          <c:val>
            <c:numRef>
              <c:f>'No. of Invoice'!$C$6:$C$17</c:f>
              <c:numCache>
                <c:formatCode>General</c:formatCode>
                <c:ptCount val="11"/>
                <c:pt idx="2">
                  <c:v>12</c:v>
                </c:pt>
                <c:pt idx="3">
                  <c:v>20</c:v>
                </c:pt>
                <c:pt idx="4">
                  <c:v>19</c:v>
                </c:pt>
                <c:pt idx="6">
                  <c:v>10</c:v>
                </c:pt>
                <c:pt idx="9">
                  <c:v>2</c:v>
                </c:pt>
              </c:numCache>
            </c:numRef>
          </c:val>
          <c:extLst>
            <c:ext xmlns:c16="http://schemas.microsoft.com/office/drawing/2014/chart" uri="{C3380CC4-5D6E-409C-BE32-E72D297353CC}">
              <c16:uniqueId val="{00000000-A715-420E-8E91-CF10730C021A}"/>
            </c:ext>
          </c:extLst>
        </c:ser>
        <c:ser>
          <c:idx val="1"/>
          <c:order val="1"/>
          <c:tx>
            <c:strRef>
              <c:f>'No. of Invoice'!$D$4:$D$5</c:f>
              <c:strCache>
                <c:ptCount val="1"/>
                <c:pt idx="0">
                  <c:v>New</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'No. of Invoice'!$B$6:$B$17</c:f>
              <c:strCache>
                <c:ptCount val="11"/>
                <c:pt idx="0">
                  <c:v>Divya Dhingra</c:v>
                </c:pt>
                <c:pt idx="1">
                  <c:v>Ankita Shah</c:v>
                </c:pt>
                <c:pt idx="2">
                  <c:v>Vidit Shah</c:v>
                </c:pt>
                <c:pt idx="3">
                  <c:v>Animesh Rawat</c:v>
                </c:pt>
                <c:pt idx="4">
                  <c:v>Vinay</c:v>
                </c:pt>
                <c:pt idx="5">
                  <c:v>Shobhit Agarwal</c:v>
                </c:pt>
                <c:pt idx="6">
                  <c:v>Abhinav Shivam</c:v>
                </c:pt>
                <c:pt idx="7">
                  <c:v>Shloka Shelat</c:v>
                </c:pt>
                <c:pt idx="8">
                  <c:v>Gautam Murkunde</c:v>
                </c:pt>
                <c:pt idx="9">
                  <c:v>Mark</c:v>
                </c:pt>
                <c:pt idx="10">
                  <c:v>Neel Jain</c:v>
                </c:pt>
              </c:strCache>
            </c:strRef>
          </c:cat>
          <c:val>
            <c:numRef>
              <c:f>'No. of Invoice'!$D$6:$D$17</c:f>
              <c:numCache>
                <c:formatCode>General</c:formatCode>
                <c:ptCount val="11"/>
                <c:pt idx="5">
                  <c:v>8</c:v>
                </c:pt>
                <c:pt idx="7">
                  <c:v>7</c:v>
                </c:pt>
                <c:pt idx="10">
                  <c:v>1</c:v>
                </c:pt>
              </c:numCache>
            </c:numRef>
          </c:val>
          <c:extLst>
            <c:ext xmlns:c16="http://schemas.microsoft.com/office/drawing/2014/chart" uri="{C3380CC4-5D6E-409C-BE32-E72D297353CC}">
              <c16:uniqueId val="{00000003-25D7-4535-BE25-B9D287B06104}"/>
            </c:ext>
          </c:extLst>
        </c:ser>
        <c:ser>
          <c:idx val="2"/>
          <c:order val="2"/>
          <c:tx>
            <c:strRef>
              <c:f>'No. of Invoice'!$E$4:$E$5</c:f>
              <c:strCache>
                <c:ptCount val="1"/>
                <c:pt idx="0">
                  <c:v>Renewal</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'No. of Invoice'!$B$6:$B$17</c:f>
              <c:strCache>
                <c:ptCount val="11"/>
                <c:pt idx="0">
                  <c:v>Divya Dhingra</c:v>
                </c:pt>
                <c:pt idx="1">
                  <c:v>Ankita Shah</c:v>
                </c:pt>
                <c:pt idx="2">
                  <c:v>Vidit Shah</c:v>
                </c:pt>
                <c:pt idx="3">
                  <c:v>Animesh Rawat</c:v>
                </c:pt>
                <c:pt idx="4">
                  <c:v>Vinay</c:v>
                </c:pt>
                <c:pt idx="5">
                  <c:v>Shobhit Agarwal</c:v>
                </c:pt>
                <c:pt idx="6">
                  <c:v>Abhinav Shivam</c:v>
                </c:pt>
                <c:pt idx="7">
                  <c:v>Shloka Shelat</c:v>
                </c:pt>
                <c:pt idx="8">
                  <c:v>Gautam Murkunde</c:v>
                </c:pt>
                <c:pt idx="9">
                  <c:v>Mark</c:v>
                </c:pt>
                <c:pt idx="10">
                  <c:v>Neel Jain</c:v>
                </c:pt>
              </c:strCache>
            </c:strRef>
          </c:cat>
          <c:val>
            <c:numRef>
              <c:f>'No. of Invoice'!$E$6:$E$17</c:f>
              <c:numCache>
                <c:formatCode>General</c:formatCode>
                <c:ptCount val="11"/>
                <c:pt idx="0">
                  <c:v>58</c:v>
                </c:pt>
                <c:pt idx="1">
                  <c:v>18</c:v>
                </c:pt>
                <c:pt idx="2">
                  <c:v>15</c:v>
                </c:pt>
                <c:pt idx="7">
                  <c:v>3</c:v>
                </c:pt>
                <c:pt idx="8">
                  <c:v>3</c:v>
                </c:pt>
              </c:numCache>
            </c:numRef>
          </c:val>
          <c:extLst>
            <c:ext xmlns:c16="http://schemas.microsoft.com/office/drawing/2014/chart" uri="{C3380CC4-5D6E-409C-BE32-E72D297353CC}">
              <c16:uniqueId val="{00000004-25D7-4535-BE25-B9D287B06104}"/>
            </c:ext>
          </c:extLst>
        </c:ser>
        <c:ser>
          <c:idx val="3"/>
          <c:order val="3"/>
          <c:tx>
            <c:strRef>
              <c:f>'No. of Invoice'!$F$4:$F$5</c:f>
              <c:strCache>
                <c:ptCount val="1"/>
                <c:pt idx="0">
                  <c:v>(blank)</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'No. of Invoice'!$B$6:$B$17</c:f>
              <c:strCache>
                <c:ptCount val="11"/>
                <c:pt idx="0">
                  <c:v>Divya Dhingra</c:v>
                </c:pt>
                <c:pt idx="1">
                  <c:v>Ankita Shah</c:v>
                </c:pt>
                <c:pt idx="2">
                  <c:v>Vidit Shah</c:v>
                </c:pt>
                <c:pt idx="3">
                  <c:v>Animesh Rawat</c:v>
                </c:pt>
                <c:pt idx="4">
                  <c:v>Vinay</c:v>
                </c:pt>
                <c:pt idx="5">
                  <c:v>Shobhit Agarwal</c:v>
                </c:pt>
                <c:pt idx="6">
                  <c:v>Abhinav Shivam</c:v>
                </c:pt>
                <c:pt idx="7">
                  <c:v>Shloka Shelat</c:v>
                </c:pt>
                <c:pt idx="8">
                  <c:v>Gautam Murkunde</c:v>
                </c:pt>
                <c:pt idx="9">
                  <c:v>Mark</c:v>
                </c:pt>
                <c:pt idx="10">
                  <c:v>Neel Jain</c:v>
                </c:pt>
              </c:strCache>
            </c:strRef>
          </c:cat>
          <c:val>
            <c:numRef>
              <c:f>'No. of Invoice'!$F$6:$F$17</c:f>
              <c:numCache>
                <c:formatCode>General</c:formatCode>
                <c:ptCount val="11"/>
                <c:pt idx="0">
                  <c:v>5</c:v>
                </c:pt>
                <c:pt idx="1">
                  <c:v>18</c:v>
                </c:pt>
                <c:pt idx="5">
                  <c:v>4</c:v>
                </c:pt>
                <c:pt idx="8">
                  <c:v>1</c:v>
                </c:pt>
              </c:numCache>
            </c:numRef>
          </c:val>
          <c:extLst>
            <c:ext xmlns:c16="http://schemas.microsoft.com/office/drawing/2014/chart" uri="{C3380CC4-5D6E-409C-BE32-E72D297353CC}">
              <c16:uniqueId val="{00000005-25D7-4535-BE25-B9D287B06104}"/>
            </c:ext>
          </c:extLst>
        </c:ser>
        <c:dLbls>
          <c:showLegendKey val="0"/>
          <c:showVal val="0"/>
          <c:showCatName val="0"/>
          <c:showSerName val="0"/>
          <c:showPercent val="0"/>
          <c:showBubbleSize val="0"/>
        </c:dLbls>
        <c:gapWidth val="150"/>
        <c:shape val="box"/>
        <c:axId val="76235440"/>
        <c:axId val="76236880"/>
        <c:axId val="0"/>
      </c:bar3DChart>
      <c:catAx>
        <c:axId val="762354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6236880"/>
        <c:crosses val="autoZero"/>
        <c:auto val="1"/>
        <c:lblAlgn val="ctr"/>
        <c:lblOffset val="100"/>
        <c:noMultiLvlLbl val="0"/>
      </c:catAx>
      <c:valAx>
        <c:axId val="76236880"/>
        <c:scaling>
          <c:orientation val="minMax"/>
        </c:scaling>
        <c:delete val="0"/>
        <c:axPos val="b"/>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62354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  Analystics Project.xlsx]No.of Meeting!PivotTable4</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'No.of Meeting'!$C$4</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'No.of Meeting'!$B$5:$B$14</c:f>
              <c:strCache>
                <c:ptCount val="9"/>
                <c:pt idx="0">
                  <c:v>Raju Kumar</c:v>
                </c:pt>
                <c:pt idx="1">
                  <c:v>Mark</c:v>
                </c:pt>
                <c:pt idx="2">
                  <c:v>Manish Sharma</c:v>
                </c:pt>
                <c:pt idx="3">
                  <c:v>Gilbert</c:v>
                </c:pt>
                <c:pt idx="4">
                  <c:v>Animesh Rawat</c:v>
                </c:pt>
                <c:pt idx="5">
                  <c:v>Ketan Jain</c:v>
                </c:pt>
                <c:pt idx="6">
                  <c:v>Shivani Sharma</c:v>
                </c:pt>
                <c:pt idx="7">
                  <c:v>Vinay</c:v>
                </c:pt>
                <c:pt idx="8">
                  <c:v>Abhinav Shivam</c:v>
                </c:pt>
              </c:strCache>
            </c:strRef>
          </c:cat>
          <c:val>
            <c:numRef>
              <c:f>'No.of Meeting'!$C$5:$C$14</c:f>
              <c:numCache>
                <c:formatCode>General</c:formatCode>
                <c:ptCount val="9"/>
                <c:pt idx="0">
                  <c:v>2</c:v>
                </c:pt>
                <c:pt idx="1">
                  <c:v>2</c:v>
                </c:pt>
                <c:pt idx="2">
                  <c:v>3</c:v>
                </c:pt>
                <c:pt idx="3">
                  <c:v>3</c:v>
                </c:pt>
                <c:pt idx="4">
                  <c:v>4</c:v>
                </c:pt>
                <c:pt idx="5">
                  <c:v>4</c:v>
                </c:pt>
                <c:pt idx="6">
                  <c:v>4</c:v>
                </c:pt>
                <c:pt idx="7">
                  <c:v>5</c:v>
                </c:pt>
                <c:pt idx="8">
                  <c:v>7</c:v>
                </c:pt>
              </c:numCache>
            </c:numRef>
          </c:val>
          <c:extLst>
            <c:ext xmlns:c16="http://schemas.microsoft.com/office/drawing/2014/chart" uri="{C3380CC4-5D6E-409C-BE32-E72D297353CC}">
              <c16:uniqueId val="{00000000-A510-4520-AD2E-A30DED4705D4}"/>
            </c:ext>
          </c:extLst>
        </c:ser>
        <c:dLbls>
          <c:showLegendKey val="0"/>
          <c:showVal val="1"/>
          <c:showCatName val="0"/>
          <c:showSerName val="0"/>
          <c:showPercent val="0"/>
          <c:showBubbleSize val="0"/>
        </c:dLbls>
        <c:gapWidth val="150"/>
        <c:shape val="box"/>
        <c:axId val="28245152"/>
        <c:axId val="28246592"/>
        <c:axId val="0"/>
      </c:bar3DChart>
      <c:catAx>
        <c:axId val="2824515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8246592"/>
        <c:crosses val="autoZero"/>
        <c:auto val="1"/>
        <c:lblAlgn val="ctr"/>
        <c:lblOffset val="100"/>
        <c:noMultiLvlLbl val="0"/>
      </c:catAx>
      <c:valAx>
        <c:axId val="28246592"/>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82451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  Analystics Project.xlsx]Object - Product Group!PivotTable5</c:name>
    <c:fmtId val="3"/>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doughnutChart>
        <c:varyColors val="1"/>
        <c:ser>
          <c:idx val="0"/>
          <c:order val="0"/>
          <c:tx>
            <c:strRef>
              <c:f>'Object - Product Group'!$B$1</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9803-49DE-A1B6-B169724575B8}"/>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9803-49DE-A1B6-B169724575B8}"/>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9803-49DE-A1B6-B169724575B8}"/>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9803-49DE-A1B6-B169724575B8}"/>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9803-49DE-A1B6-B169724575B8}"/>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9803-49DE-A1B6-B169724575B8}"/>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9803-49DE-A1B6-B169724575B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'Object - Product Group'!$A$2:$A$9</c:f>
              <c:strCache>
                <c:ptCount val="7"/>
                <c:pt idx="0">
                  <c:v>Employee Benefits</c:v>
                </c:pt>
                <c:pt idx="1">
                  <c:v>Engineering</c:v>
                </c:pt>
                <c:pt idx="2">
                  <c:v>Fire</c:v>
                </c:pt>
                <c:pt idx="3">
                  <c:v>Liability</c:v>
                </c:pt>
                <c:pt idx="4">
                  <c:v>Marine</c:v>
                </c:pt>
                <c:pt idx="5">
                  <c:v>Miscellaneous</c:v>
                </c:pt>
                <c:pt idx="6">
                  <c:v>Terrorism</c:v>
                </c:pt>
              </c:strCache>
            </c:strRef>
          </c:cat>
          <c:val>
            <c:numRef>
              <c:f>'Object - Product Group'!$B$2:$B$9</c:f>
              <c:numCache>
                <c:formatCode>General</c:formatCode>
                <c:ptCount val="7"/>
                <c:pt idx="0">
                  <c:v>15</c:v>
                </c:pt>
                <c:pt idx="1">
                  <c:v>6</c:v>
                </c:pt>
                <c:pt idx="2">
                  <c:v>13</c:v>
                </c:pt>
                <c:pt idx="3">
                  <c:v>5</c:v>
                </c:pt>
                <c:pt idx="4">
                  <c:v>7</c:v>
                </c:pt>
                <c:pt idx="5">
                  <c:v>2</c:v>
                </c:pt>
                <c:pt idx="6">
                  <c:v>1</c:v>
                </c:pt>
              </c:numCache>
            </c:numRef>
          </c:val>
          <c:extLst>
            <c:ext xmlns:c16="http://schemas.microsoft.com/office/drawing/2014/chart" uri="{C3380CC4-5D6E-409C-BE32-E72D297353CC}">
              <c16:uniqueId val="{00000000-AAC2-4D90-A05B-4627AB78A11B}"/>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  Analystics Project.xlsx]Top 4 Oppty!PivotTable6</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'Top 4 Oppty'!$B$1</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272E-471C-A673-C8EF67A223D2}"/>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272E-471C-A673-C8EF67A223D2}"/>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272E-471C-A673-C8EF67A223D2}"/>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272E-471C-A673-C8EF67A223D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'Top 4 Oppty'!$A$2:$A$6</c:f>
              <c:strCache>
                <c:ptCount val="4"/>
                <c:pt idx="0">
                  <c:v>Fire</c:v>
                </c:pt>
                <c:pt idx="1">
                  <c:v>EL-Group Mediclaim</c:v>
                </c:pt>
                <c:pt idx="2">
                  <c:v>DB -Mega Policy</c:v>
                </c:pt>
                <c:pt idx="3">
                  <c:v>CVP GMC</c:v>
                </c:pt>
              </c:strCache>
            </c:strRef>
          </c:cat>
          <c:val>
            <c:numRef>
              <c:f>'Top 4 Oppty'!$B$2:$B$6</c:f>
              <c:numCache>
                <c:formatCode>General</c:formatCode>
                <c:ptCount val="4"/>
                <c:pt idx="0">
                  <c:v>500000</c:v>
                </c:pt>
                <c:pt idx="1">
                  <c:v>400000</c:v>
                </c:pt>
                <c:pt idx="2">
                  <c:v>400000</c:v>
                </c:pt>
                <c:pt idx="3">
                  <c:v>350000</c:v>
                </c:pt>
              </c:numCache>
            </c:numRef>
          </c:val>
          <c:extLst>
            <c:ext xmlns:c16="http://schemas.microsoft.com/office/drawing/2014/chart" uri="{C3380CC4-5D6E-409C-BE32-E72D297353CC}">
              <c16:uniqueId val="{00000000-7136-42C1-B237-D1FD5013BE87}"/>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  Analystics Project.xlsx]Top 5 Product Sub-Group!PivotTable7</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'Top 5 Product Sub-Group'!$C$2</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E45D-437B-A957-969A6D7282BB}"/>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E45D-437B-A957-969A6D7282BB}"/>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E45D-437B-A957-969A6D7282BB}"/>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E45D-437B-A957-969A6D7282BB}"/>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E45D-437B-A957-969A6D7282B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'Top 5 Product Sub-Group'!$B$3:$B$8</c:f>
              <c:strCache>
                <c:ptCount val="5"/>
                <c:pt idx="0">
                  <c:v>Constructions &amp;amp; Infrastructure</c:v>
                </c:pt>
                <c:pt idx="1">
                  <c:v>Engineering</c:v>
                </c:pt>
                <c:pt idx="2">
                  <c:v>Marine Hull</c:v>
                </c:pt>
                <c:pt idx="3">
                  <c:v>Mediclaim</c:v>
                </c:pt>
                <c:pt idx="4">
                  <c:v>Miscellaneous</c:v>
                </c:pt>
              </c:strCache>
            </c:strRef>
          </c:cat>
          <c:val>
            <c:numRef>
              <c:f>'Top 5 Product Sub-Group'!$C$3:$C$8</c:f>
              <c:numCache>
                <c:formatCode>0.00</c:formatCode>
                <c:ptCount val="5"/>
                <c:pt idx="0">
                  <c:v>2450000</c:v>
                </c:pt>
                <c:pt idx="1">
                  <c:v>329500</c:v>
                </c:pt>
                <c:pt idx="2">
                  <c:v>600000</c:v>
                </c:pt>
                <c:pt idx="3">
                  <c:v>2315000</c:v>
                </c:pt>
                <c:pt idx="4">
                  <c:v>450000</c:v>
                </c:pt>
              </c:numCache>
            </c:numRef>
          </c:val>
          <c:extLst>
            <c:ext xmlns:c16="http://schemas.microsoft.com/office/drawing/2014/chart" uri="{C3380CC4-5D6E-409C-BE32-E72D297353CC}">
              <c16:uniqueId val="{00000008-4DCD-4AEB-937A-B4D7321E9F4B}"/>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  Analystics Project.xlsx]Meeting Trend!PivotTable9</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'Meeting Trend'!$C$3</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multiLvlStrRef>
              <c:f>'Meeting Trend'!$B$4:$B$9</c:f>
              <c:multiLvlStrCache>
                <c:ptCount val="3"/>
                <c:lvl>
                  <c:pt idx="0">
                    <c:v>Oct</c:v>
                  </c:pt>
                  <c:pt idx="1">
                    <c:v>Dec</c:v>
                  </c:pt>
                  <c:pt idx="2">
                    <c:v>Jan</c:v>
                  </c:pt>
                </c:lvl>
                <c:lvl>
                  <c:pt idx="0">
                    <c:v>2019</c:v>
                  </c:pt>
                  <c:pt idx="2">
                    <c:v>2020</c:v>
                  </c:pt>
                </c:lvl>
              </c:multiLvlStrCache>
            </c:multiLvlStrRef>
          </c:cat>
          <c:val>
            <c:numRef>
              <c:f>'Meeting Trend'!$C$4:$C$9</c:f>
              <c:numCache>
                <c:formatCode>General</c:formatCode>
                <c:ptCount val="3"/>
                <c:pt idx="0">
                  <c:v>2</c:v>
                </c:pt>
                <c:pt idx="1">
                  <c:v>1</c:v>
                </c:pt>
                <c:pt idx="2">
                  <c:v>31</c:v>
                </c:pt>
              </c:numCache>
            </c:numRef>
          </c:val>
          <c:smooth val="0"/>
          <c:extLst>
            <c:ext xmlns:c16="http://schemas.microsoft.com/office/drawing/2014/chart" uri="{C3380CC4-5D6E-409C-BE32-E72D297353CC}">
              <c16:uniqueId val="{00000000-0815-40C3-B78B-B9D442B2DD25}"/>
            </c:ext>
          </c:extLst>
        </c:ser>
        <c:dLbls>
          <c:showLegendKey val="0"/>
          <c:showVal val="0"/>
          <c:showCatName val="0"/>
          <c:showSerName val="0"/>
          <c:showPercent val="0"/>
          <c:showBubbleSize val="0"/>
        </c:dLbls>
        <c:marker val="1"/>
        <c:smooth val="0"/>
        <c:axId val="188686767"/>
        <c:axId val="188687247"/>
      </c:lineChart>
      <c:catAx>
        <c:axId val="188686767"/>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8687247"/>
        <c:crosses val="autoZero"/>
        <c:auto val="1"/>
        <c:lblAlgn val="ctr"/>
        <c:lblOffset val="100"/>
        <c:noMultiLvlLbl val="0"/>
      </c:catAx>
      <c:valAx>
        <c:axId val="188687247"/>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86867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  Analystics Project.xlsx]Stage!PivotTable8</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Stage!$C$3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Stage!$B$4:$B$8</c:f>
              <c:strCache>
                <c:ptCount val="4"/>
                <c:pt idx="0">
                  <c:v>(blank)</c:v>
                </c:pt>
                <c:pt idx="1">
                  <c:v>Propose Solution</c:v>
                </c:pt>
                <c:pt idx="2">
                  <c:v>Negotiate</c:v>
                </c:pt>
                <c:pt idx="3">
                  <c:v>Qualify Opportunity</c:v>
                </c:pt>
              </c:strCache>
            </c:strRef>
          </c:cat>
          <c:val>
            <c:numRef>
              <c:f>Stage!$C$4:$C$8</c:f>
              <c:numCache>
                <c:formatCode>General</c:formatCode>
                <c:ptCount val="4"/>
                <c:pt idx="1">
                  <c:v>60000</c:v>
                </c:pt>
                <c:pt idx="2">
                  <c:v>899000</c:v>
                </c:pt>
                <c:pt idx="3">
                  <c:v>5919500</c:v>
                </c:pt>
              </c:numCache>
            </c:numRef>
          </c:val>
          <c:extLst>
            <c:ext xmlns:c16="http://schemas.microsoft.com/office/drawing/2014/chart" uri="{C3380CC4-5D6E-409C-BE32-E72D297353CC}">
              <c16:uniqueId val="{00000000-E2AA-4688-96A8-EE875C4FC3E2}"/>
            </c:ext>
          </c:extLst>
        </c:ser>
        <c:dLbls>
          <c:dLblPos val="outEnd"/>
          <c:showLegendKey val="0"/>
          <c:showVal val="1"/>
          <c:showCatName val="0"/>
          <c:showSerName val="0"/>
          <c:showPercent val="0"/>
          <c:showBubbleSize val="0"/>
        </c:dLbls>
        <c:gapWidth val="115"/>
        <c:overlap val="-20"/>
        <c:axId val="812426047"/>
        <c:axId val="804768927"/>
      </c:barChart>
      <c:catAx>
        <c:axId val="812426047"/>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04768927"/>
        <c:crosses val="autoZero"/>
        <c:auto val="1"/>
        <c:lblAlgn val="ctr"/>
        <c:lblOffset val="100"/>
        <c:noMultiLvlLbl val="0"/>
      </c:catAx>
      <c:valAx>
        <c:axId val="804768927"/>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124260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  Analystics Project.xlsx]Meeting Trend!PivotTable9</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Meeting Trend</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'Meeting Trend'!$C$3</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'Meeting Trend'!$B$4:$B$9</c:f>
              <c:multiLvlStrCache>
                <c:ptCount val="3"/>
                <c:lvl>
                  <c:pt idx="0">
                    <c:v>Oct</c:v>
                  </c:pt>
                  <c:pt idx="1">
                    <c:v>Dec</c:v>
                  </c:pt>
                  <c:pt idx="2">
                    <c:v>Jan</c:v>
                  </c:pt>
                </c:lvl>
                <c:lvl>
                  <c:pt idx="0">
                    <c:v>2019</c:v>
                  </c:pt>
                  <c:pt idx="2">
                    <c:v>2020</c:v>
                  </c:pt>
                </c:lvl>
              </c:multiLvlStrCache>
            </c:multiLvlStrRef>
          </c:cat>
          <c:val>
            <c:numRef>
              <c:f>'Meeting Trend'!$C$4:$C$9</c:f>
              <c:numCache>
                <c:formatCode>General</c:formatCode>
                <c:ptCount val="3"/>
                <c:pt idx="0">
                  <c:v>2</c:v>
                </c:pt>
                <c:pt idx="1">
                  <c:v>1</c:v>
                </c:pt>
                <c:pt idx="2">
                  <c:v>31</c:v>
                </c:pt>
              </c:numCache>
            </c:numRef>
          </c:val>
          <c:smooth val="0"/>
          <c:extLst>
            <c:ext xmlns:c16="http://schemas.microsoft.com/office/drawing/2014/chart" uri="{C3380CC4-5D6E-409C-BE32-E72D297353CC}">
              <c16:uniqueId val="{00000000-14E1-4B90-B601-E3E09D17F324}"/>
            </c:ext>
          </c:extLst>
        </c:ser>
        <c:dLbls>
          <c:dLblPos val="t"/>
          <c:showLegendKey val="0"/>
          <c:showVal val="1"/>
          <c:showCatName val="0"/>
          <c:showSerName val="0"/>
          <c:showPercent val="0"/>
          <c:showBubbleSize val="0"/>
        </c:dLbls>
        <c:marker val="1"/>
        <c:smooth val="0"/>
        <c:axId val="188686767"/>
        <c:axId val="188687247"/>
      </c:lineChart>
      <c:catAx>
        <c:axId val="188686767"/>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8687247"/>
        <c:crosses val="autoZero"/>
        <c:auto val="1"/>
        <c:lblAlgn val="ctr"/>
        <c:lblOffset val="100"/>
        <c:noMultiLvlLbl val="0"/>
      </c:catAx>
      <c:valAx>
        <c:axId val="188687247"/>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86867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  Analystics Project.xlsx]Stage!PivotTable8</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Stage wise Revenue</a:t>
            </a:r>
          </a:p>
          <a:p>
            <a:pPr>
              <a:defRPr/>
            </a:pP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Stage!$C$3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Stage!$B$4:$B$8</c:f>
              <c:strCache>
                <c:ptCount val="4"/>
                <c:pt idx="0">
                  <c:v>(blank)</c:v>
                </c:pt>
                <c:pt idx="1">
                  <c:v>Propose Solution</c:v>
                </c:pt>
                <c:pt idx="2">
                  <c:v>Negotiate</c:v>
                </c:pt>
                <c:pt idx="3">
                  <c:v>Qualify Opportunity</c:v>
                </c:pt>
              </c:strCache>
            </c:strRef>
          </c:cat>
          <c:val>
            <c:numRef>
              <c:f>Stage!$C$4:$C$8</c:f>
              <c:numCache>
                <c:formatCode>General</c:formatCode>
                <c:ptCount val="4"/>
                <c:pt idx="1">
                  <c:v>60000</c:v>
                </c:pt>
                <c:pt idx="2">
                  <c:v>899000</c:v>
                </c:pt>
                <c:pt idx="3">
                  <c:v>5919500</c:v>
                </c:pt>
              </c:numCache>
            </c:numRef>
          </c:val>
          <c:extLst>
            <c:ext xmlns:c16="http://schemas.microsoft.com/office/drawing/2014/chart" uri="{C3380CC4-5D6E-409C-BE32-E72D297353CC}">
              <c16:uniqueId val="{00000000-D260-4543-921E-3284AF180ECA}"/>
            </c:ext>
          </c:extLst>
        </c:ser>
        <c:dLbls>
          <c:dLblPos val="outEnd"/>
          <c:showLegendKey val="0"/>
          <c:showVal val="1"/>
          <c:showCatName val="0"/>
          <c:showSerName val="0"/>
          <c:showPercent val="0"/>
          <c:showBubbleSize val="0"/>
        </c:dLbls>
        <c:gapWidth val="115"/>
        <c:overlap val="-20"/>
        <c:axId val="812426047"/>
        <c:axId val="804768927"/>
      </c:barChart>
      <c:catAx>
        <c:axId val="812426047"/>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04768927"/>
        <c:crosses val="autoZero"/>
        <c:auto val="1"/>
        <c:lblAlgn val="ctr"/>
        <c:lblOffset val="100"/>
        <c:noMultiLvlLbl val="0"/>
      </c:catAx>
      <c:valAx>
        <c:axId val="804768927"/>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124260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  Analystics Project.xlsx]Top 5 Product Sub-Group!PivotTable7</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a:t>
            </a:r>
            <a:r>
              <a:rPr lang="en-US" baseline="0"/>
              <a:t> 5 Sub- Product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'Top 5 Product Sub-Group'!$C$2</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9798-43B1-B7C8-A5645DBD0ED3}"/>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9798-43B1-B7C8-A5645DBD0ED3}"/>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9798-43B1-B7C8-A5645DBD0ED3}"/>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9798-43B1-B7C8-A5645DBD0ED3}"/>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9798-43B1-B7C8-A5645DBD0ED3}"/>
              </c:ext>
            </c:extLst>
          </c:dPt>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'Top 5 Product Sub-Group'!$B$3:$B$8</c:f>
              <c:strCache>
                <c:ptCount val="5"/>
                <c:pt idx="0">
                  <c:v>Constructions &amp;amp; Infrastructure</c:v>
                </c:pt>
                <c:pt idx="1">
                  <c:v>Engineering</c:v>
                </c:pt>
                <c:pt idx="2">
                  <c:v>Marine Hull</c:v>
                </c:pt>
                <c:pt idx="3">
                  <c:v>Mediclaim</c:v>
                </c:pt>
                <c:pt idx="4">
                  <c:v>Miscellaneous</c:v>
                </c:pt>
              </c:strCache>
            </c:strRef>
          </c:cat>
          <c:val>
            <c:numRef>
              <c:f>'Top 5 Product Sub-Group'!$C$3:$C$8</c:f>
              <c:numCache>
                <c:formatCode>0.00</c:formatCode>
                <c:ptCount val="5"/>
                <c:pt idx="0">
                  <c:v>2450000</c:v>
                </c:pt>
                <c:pt idx="1">
                  <c:v>329500</c:v>
                </c:pt>
                <c:pt idx="2">
                  <c:v>600000</c:v>
                </c:pt>
                <c:pt idx="3">
                  <c:v>2315000</c:v>
                </c:pt>
                <c:pt idx="4">
                  <c:v>450000</c:v>
                </c:pt>
              </c:numCache>
            </c:numRef>
          </c:val>
          <c:extLst>
            <c:ext xmlns:c16="http://schemas.microsoft.com/office/drawing/2014/chart" uri="{C3380CC4-5D6E-409C-BE32-E72D297353CC}">
              <c16:uniqueId val="{0000000A-9798-43B1-B7C8-A5645DBD0ED3}"/>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  Analystics Project.xlsx]No. of Invoice!PivotTable3</c:name>
    <c:fmtId val="3"/>
  </c:pivotSource>
  <c:chart>
    <c:title>
      <c:tx>
        <c:rich>
          <a:bodyPr rot="0" spcFirstLastPara="1" vertOverflow="ellipsis" vert="horz" wrap="square" anchor="ctr" anchorCtr="1"/>
          <a:lstStyle/>
          <a:p>
            <a:pPr>
              <a:defRPr sz="16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r>
              <a:rPr lang="en-IN"/>
              <a:t>No. of Invoices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anchor="ctr" anchorCtr="1"/>
            <a:lstStyle/>
            <a:p>
              <a:pPr>
                <a:defRPr sz="16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anchor="ctr" anchorCtr="1"/>
            <a:lstStyle/>
            <a:p>
              <a:pPr>
                <a:defRPr sz="16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anchor="ctr" anchorCtr="1"/>
            <a:lstStyle/>
            <a:p>
              <a:pPr>
                <a:defRPr sz="16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anchor="ctr" anchorCtr="1"/>
            <a:lstStyle/>
            <a:p>
              <a:pPr>
                <a:defRPr sz="16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'No. of Invoice'!$C$4:$C$5</c:f>
              <c:strCache>
                <c:ptCount val="1"/>
                <c:pt idx="0">
                  <c:v>Cross Sell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anchor="ctr" anchorCtr="1"/>
              <a:lstStyle/>
              <a:p>
                <a:pPr>
                  <a:defRPr sz="16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'No. of Invoice'!$B$6:$B$17</c:f>
              <c:strCache>
                <c:ptCount val="11"/>
                <c:pt idx="0">
                  <c:v>Divya Dhingra</c:v>
                </c:pt>
                <c:pt idx="1">
                  <c:v>Ankita Shah</c:v>
                </c:pt>
                <c:pt idx="2">
                  <c:v>Vidit Shah</c:v>
                </c:pt>
                <c:pt idx="3">
                  <c:v>Animesh Rawat</c:v>
                </c:pt>
                <c:pt idx="4">
                  <c:v>Vinay</c:v>
                </c:pt>
                <c:pt idx="5">
                  <c:v>Shobhit Agarwal</c:v>
                </c:pt>
                <c:pt idx="6">
                  <c:v>Abhinav Shivam</c:v>
                </c:pt>
                <c:pt idx="7">
                  <c:v>Shloka Shelat</c:v>
                </c:pt>
                <c:pt idx="8">
                  <c:v>Gautam Murkunde</c:v>
                </c:pt>
                <c:pt idx="9">
                  <c:v>Mark</c:v>
                </c:pt>
                <c:pt idx="10">
                  <c:v>Neel Jain</c:v>
                </c:pt>
              </c:strCache>
            </c:strRef>
          </c:cat>
          <c:val>
            <c:numRef>
              <c:f>'No. of Invoice'!$C$6:$C$17</c:f>
              <c:numCache>
                <c:formatCode>General</c:formatCode>
                <c:ptCount val="11"/>
                <c:pt idx="2">
                  <c:v>12</c:v>
                </c:pt>
                <c:pt idx="3">
                  <c:v>20</c:v>
                </c:pt>
                <c:pt idx="4">
                  <c:v>19</c:v>
                </c:pt>
                <c:pt idx="6">
                  <c:v>10</c:v>
                </c:pt>
                <c:pt idx="9">
                  <c:v>2</c:v>
                </c:pt>
              </c:numCache>
            </c:numRef>
          </c:val>
          <c:extLst>
            <c:ext xmlns:c16="http://schemas.microsoft.com/office/drawing/2014/chart" uri="{C3380CC4-5D6E-409C-BE32-E72D297353CC}">
              <c16:uniqueId val="{00000000-7D56-47B1-84DC-4C1CE2CD24B0}"/>
            </c:ext>
          </c:extLst>
        </c:ser>
        <c:ser>
          <c:idx val="1"/>
          <c:order val="1"/>
          <c:tx>
            <c:strRef>
              <c:f>'No. of Invoice'!$D$4:$D$5</c:f>
              <c:strCache>
                <c:ptCount val="1"/>
                <c:pt idx="0">
                  <c:v>New</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anchor="ctr" anchorCtr="1"/>
              <a:lstStyle/>
              <a:p>
                <a:pPr>
                  <a:defRPr sz="16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'No. of Invoice'!$B$6:$B$17</c:f>
              <c:strCache>
                <c:ptCount val="11"/>
                <c:pt idx="0">
                  <c:v>Divya Dhingra</c:v>
                </c:pt>
                <c:pt idx="1">
                  <c:v>Ankita Shah</c:v>
                </c:pt>
                <c:pt idx="2">
                  <c:v>Vidit Shah</c:v>
                </c:pt>
                <c:pt idx="3">
                  <c:v>Animesh Rawat</c:v>
                </c:pt>
                <c:pt idx="4">
                  <c:v>Vinay</c:v>
                </c:pt>
                <c:pt idx="5">
                  <c:v>Shobhit Agarwal</c:v>
                </c:pt>
                <c:pt idx="6">
                  <c:v>Abhinav Shivam</c:v>
                </c:pt>
                <c:pt idx="7">
                  <c:v>Shloka Shelat</c:v>
                </c:pt>
                <c:pt idx="8">
                  <c:v>Gautam Murkunde</c:v>
                </c:pt>
                <c:pt idx="9">
                  <c:v>Mark</c:v>
                </c:pt>
                <c:pt idx="10">
                  <c:v>Neel Jain</c:v>
                </c:pt>
              </c:strCache>
            </c:strRef>
          </c:cat>
          <c:val>
            <c:numRef>
              <c:f>'No. of Invoice'!$D$6:$D$17</c:f>
              <c:numCache>
                <c:formatCode>General</c:formatCode>
                <c:ptCount val="11"/>
                <c:pt idx="5">
                  <c:v>8</c:v>
                </c:pt>
                <c:pt idx="7">
                  <c:v>7</c:v>
                </c:pt>
                <c:pt idx="10">
                  <c:v>1</c:v>
                </c:pt>
              </c:numCache>
            </c:numRef>
          </c:val>
          <c:extLst>
            <c:ext xmlns:c16="http://schemas.microsoft.com/office/drawing/2014/chart" uri="{C3380CC4-5D6E-409C-BE32-E72D297353CC}">
              <c16:uniqueId val="{00000004-F0D6-4A54-B4A0-9F9FEC690818}"/>
            </c:ext>
          </c:extLst>
        </c:ser>
        <c:ser>
          <c:idx val="2"/>
          <c:order val="2"/>
          <c:tx>
            <c:strRef>
              <c:f>'No. of Invoice'!$E$4:$E$5</c:f>
              <c:strCache>
                <c:ptCount val="1"/>
                <c:pt idx="0">
                  <c:v>Renewal</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anchor="ctr" anchorCtr="1"/>
              <a:lstStyle/>
              <a:p>
                <a:pPr>
                  <a:defRPr sz="16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'No. of Invoice'!$B$6:$B$17</c:f>
              <c:strCache>
                <c:ptCount val="11"/>
                <c:pt idx="0">
                  <c:v>Divya Dhingra</c:v>
                </c:pt>
                <c:pt idx="1">
                  <c:v>Ankita Shah</c:v>
                </c:pt>
                <c:pt idx="2">
                  <c:v>Vidit Shah</c:v>
                </c:pt>
                <c:pt idx="3">
                  <c:v>Animesh Rawat</c:v>
                </c:pt>
                <c:pt idx="4">
                  <c:v>Vinay</c:v>
                </c:pt>
                <c:pt idx="5">
                  <c:v>Shobhit Agarwal</c:v>
                </c:pt>
                <c:pt idx="6">
                  <c:v>Abhinav Shivam</c:v>
                </c:pt>
                <c:pt idx="7">
                  <c:v>Shloka Shelat</c:v>
                </c:pt>
                <c:pt idx="8">
                  <c:v>Gautam Murkunde</c:v>
                </c:pt>
                <c:pt idx="9">
                  <c:v>Mark</c:v>
                </c:pt>
                <c:pt idx="10">
                  <c:v>Neel Jain</c:v>
                </c:pt>
              </c:strCache>
            </c:strRef>
          </c:cat>
          <c:val>
            <c:numRef>
              <c:f>'No. of Invoice'!$E$6:$E$17</c:f>
              <c:numCache>
                <c:formatCode>General</c:formatCode>
                <c:ptCount val="11"/>
                <c:pt idx="0">
                  <c:v>58</c:v>
                </c:pt>
                <c:pt idx="1">
                  <c:v>18</c:v>
                </c:pt>
                <c:pt idx="2">
                  <c:v>15</c:v>
                </c:pt>
                <c:pt idx="7">
                  <c:v>3</c:v>
                </c:pt>
                <c:pt idx="8">
                  <c:v>3</c:v>
                </c:pt>
              </c:numCache>
            </c:numRef>
          </c:val>
          <c:extLst>
            <c:ext xmlns:c16="http://schemas.microsoft.com/office/drawing/2014/chart" uri="{C3380CC4-5D6E-409C-BE32-E72D297353CC}">
              <c16:uniqueId val="{00000005-F0D6-4A54-B4A0-9F9FEC690818}"/>
            </c:ext>
          </c:extLst>
        </c:ser>
        <c:ser>
          <c:idx val="3"/>
          <c:order val="3"/>
          <c:tx>
            <c:strRef>
              <c:f>'No. of Invoice'!$F$4:$F$5</c:f>
              <c:strCache>
                <c:ptCount val="1"/>
                <c:pt idx="0">
                  <c:v>(blank)</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anchor="ctr" anchorCtr="1"/>
              <a:lstStyle/>
              <a:p>
                <a:pPr>
                  <a:defRPr sz="16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'No. of Invoice'!$B$6:$B$17</c:f>
              <c:strCache>
                <c:ptCount val="11"/>
                <c:pt idx="0">
                  <c:v>Divya Dhingra</c:v>
                </c:pt>
                <c:pt idx="1">
                  <c:v>Ankita Shah</c:v>
                </c:pt>
                <c:pt idx="2">
                  <c:v>Vidit Shah</c:v>
                </c:pt>
                <c:pt idx="3">
                  <c:v>Animesh Rawat</c:v>
                </c:pt>
                <c:pt idx="4">
                  <c:v>Vinay</c:v>
                </c:pt>
                <c:pt idx="5">
                  <c:v>Shobhit Agarwal</c:v>
                </c:pt>
                <c:pt idx="6">
                  <c:v>Abhinav Shivam</c:v>
                </c:pt>
                <c:pt idx="7">
                  <c:v>Shloka Shelat</c:v>
                </c:pt>
                <c:pt idx="8">
                  <c:v>Gautam Murkunde</c:v>
                </c:pt>
                <c:pt idx="9">
                  <c:v>Mark</c:v>
                </c:pt>
                <c:pt idx="10">
                  <c:v>Neel Jain</c:v>
                </c:pt>
              </c:strCache>
            </c:strRef>
          </c:cat>
          <c:val>
            <c:numRef>
              <c:f>'No. of Invoice'!$F$6:$F$17</c:f>
              <c:numCache>
                <c:formatCode>General</c:formatCode>
                <c:ptCount val="11"/>
                <c:pt idx="0">
                  <c:v>5</c:v>
                </c:pt>
                <c:pt idx="1">
                  <c:v>18</c:v>
                </c:pt>
                <c:pt idx="5">
                  <c:v>4</c:v>
                </c:pt>
                <c:pt idx="8">
                  <c:v>1</c:v>
                </c:pt>
              </c:numCache>
            </c:numRef>
          </c:val>
          <c:extLst>
            <c:ext xmlns:c16="http://schemas.microsoft.com/office/drawing/2014/chart" uri="{C3380CC4-5D6E-409C-BE32-E72D297353CC}">
              <c16:uniqueId val="{00000006-F0D6-4A54-B4A0-9F9FEC690818}"/>
            </c:ext>
          </c:extLst>
        </c:ser>
        <c:dLbls>
          <c:showLegendKey val="0"/>
          <c:showVal val="1"/>
          <c:showCatName val="0"/>
          <c:showSerName val="0"/>
          <c:showPercent val="0"/>
          <c:showBubbleSize val="0"/>
        </c:dLbls>
        <c:gapWidth val="150"/>
        <c:shape val="box"/>
        <c:axId val="76235440"/>
        <c:axId val="76236880"/>
        <c:axId val="0"/>
      </c:bar3DChart>
      <c:catAx>
        <c:axId val="762354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76236880"/>
        <c:crosses val="autoZero"/>
        <c:auto val="1"/>
        <c:lblAlgn val="ctr"/>
        <c:lblOffset val="100"/>
        <c:noMultiLvlLbl val="0"/>
      </c:catAx>
      <c:valAx>
        <c:axId val="76236880"/>
        <c:scaling>
          <c:orientation val="minMax"/>
        </c:scaling>
        <c:delete val="0"/>
        <c:axPos val="b"/>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762354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  Analystics Project.xlsx]Object - Product Group!PivotTable5</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Object- Product Group</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doughnutChart>
        <c:varyColors val="1"/>
        <c:ser>
          <c:idx val="0"/>
          <c:order val="0"/>
          <c:tx>
            <c:strRef>
              <c:f>'Object - Product Group'!$B$1</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07F4-4C2D-8C32-52EFE79BFD7F}"/>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07F4-4C2D-8C32-52EFE79BFD7F}"/>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07F4-4C2D-8C32-52EFE79BFD7F}"/>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07F4-4C2D-8C32-52EFE79BFD7F}"/>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07F4-4C2D-8C32-52EFE79BFD7F}"/>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07F4-4C2D-8C32-52EFE79BFD7F}"/>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07F4-4C2D-8C32-52EFE79BFD7F}"/>
              </c:ext>
            </c:extLst>
          </c:dPt>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'Object - Product Group'!$A$2:$A$9</c:f>
              <c:strCache>
                <c:ptCount val="7"/>
                <c:pt idx="0">
                  <c:v>Employee Benefits</c:v>
                </c:pt>
                <c:pt idx="1">
                  <c:v>Engineering</c:v>
                </c:pt>
                <c:pt idx="2">
                  <c:v>Fire</c:v>
                </c:pt>
                <c:pt idx="3">
                  <c:v>Liability</c:v>
                </c:pt>
                <c:pt idx="4">
                  <c:v>Marine</c:v>
                </c:pt>
                <c:pt idx="5">
                  <c:v>Miscellaneous</c:v>
                </c:pt>
                <c:pt idx="6">
                  <c:v>Terrorism</c:v>
                </c:pt>
              </c:strCache>
            </c:strRef>
          </c:cat>
          <c:val>
            <c:numRef>
              <c:f>'Object - Product Group'!$B$2:$B$9</c:f>
              <c:numCache>
                <c:formatCode>General</c:formatCode>
                <c:ptCount val="7"/>
                <c:pt idx="0">
                  <c:v>15</c:v>
                </c:pt>
                <c:pt idx="1">
                  <c:v>6</c:v>
                </c:pt>
                <c:pt idx="2">
                  <c:v>13</c:v>
                </c:pt>
                <c:pt idx="3">
                  <c:v>5</c:v>
                </c:pt>
                <c:pt idx="4">
                  <c:v>7</c:v>
                </c:pt>
                <c:pt idx="5">
                  <c:v>2</c:v>
                </c:pt>
                <c:pt idx="6">
                  <c:v>1</c:v>
                </c:pt>
              </c:numCache>
            </c:numRef>
          </c:val>
          <c:extLst>
            <c:ext xmlns:c16="http://schemas.microsoft.com/office/drawing/2014/chart" uri="{C3380CC4-5D6E-409C-BE32-E72D297353CC}">
              <c16:uniqueId val="{0000000E-07F4-4C2D-8C32-52EFE79BFD7F}"/>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  Analystics Project.xlsx]No.of Meeting!PivotTable4</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No. of Meeting</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'No.of Meeting'!$C$4</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'No.of Meeting'!$B$5:$B$14</c:f>
              <c:strCache>
                <c:ptCount val="9"/>
                <c:pt idx="0">
                  <c:v>Raju Kumar</c:v>
                </c:pt>
                <c:pt idx="1">
                  <c:v>Mark</c:v>
                </c:pt>
                <c:pt idx="2">
                  <c:v>Manish Sharma</c:v>
                </c:pt>
                <c:pt idx="3">
                  <c:v>Gilbert</c:v>
                </c:pt>
                <c:pt idx="4">
                  <c:v>Animesh Rawat</c:v>
                </c:pt>
                <c:pt idx="5">
                  <c:v>Ketan Jain</c:v>
                </c:pt>
                <c:pt idx="6">
                  <c:v>Shivani Sharma</c:v>
                </c:pt>
                <c:pt idx="7">
                  <c:v>Vinay</c:v>
                </c:pt>
                <c:pt idx="8">
                  <c:v>Abhinav Shivam</c:v>
                </c:pt>
              </c:strCache>
            </c:strRef>
          </c:cat>
          <c:val>
            <c:numRef>
              <c:f>'No.of Meeting'!$C$5:$C$14</c:f>
              <c:numCache>
                <c:formatCode>General</c:formatCode>
                <c:ptCount val="9"/>
                <c:pt idx="0">
                  <c:v>2</c:v>
                </c:pt>
                <c:pt idx="1">
                  <c:v>2</c:v>
                </c:pt>
                <c:pt idx="2">
                  <c:v>3</c:v>
                </c:pt>
                <c:pt idx="3">
                  <c:v>3</c:v>
                </c:pt>
                <c:pt idx="4">
                  <c:v>4</c:v>
                </c:pt>
                <c:pt idx="5">
                  <c:v>4</c:v>
                </c:pt>
                <c:pt idx="6">
                  <c:v>4</c:v>
                </c:pt>
                <c:pt idx="7">
                  <c:v>5</c:v>
                </c:pt>
                <c:pt idx="8">
                  <c:v>7</c:v>
                </c:pt>
              </c:numCache>
            </c:numRef>
          </c:val>
          <c:extLst>
            <c:ext xmlns:c16="http://schemas.microsoft.com/office/drawing/2014/chart" uri="{C3380CC4-5D6E-409C-BE32-E72D297353CC}">
              <c16:uniqueId val="{00000000-25B2-4C12-BA46-5903E149C576}"/>
            </c:ext>
          </c:extLst>
        </c:ser>
        <c:dLbls>
          <c:showLegendKey val="0"/>
          <c:showVal val="1"/>
          <c:showCatName val="0"/>
          <c:showSerName val="0"/>
          <c:showPercent val="0"/>
          <c:showBubbleSize val="0"/>
        </c:dLbls>
        <c:gapWidth val="150"/>
        <c:shape val="box"/>
        <c:axId val="28245152"/>
        <c:axId val="28246592"/>
        <c:axId val="0"/>
      </c:bar3DChart>
      <c:catAx>
        <c:axId val="2824515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8246592"/>
        <c:crosses val="autoZero"/>
        <c:auto val="1"/>
        <c:lblAlgn val="ctr"/>
        <c:lblOffset val="100"/>
        <c:noMultiLvlLbl val="0"/>
      </c:catAx>
      <c:valAx>
        <c:axId val="28246592"/>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82451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  Analystics Project.xlsx]Top 4 Oppty!PivotTable6</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 4 Opportunities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'Top 4 Oppty'!$B$1</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B294-42D2-A6DB-5F40DFE22C03}"/>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B294-42D2-A6DB-5F40DFE22C03}"/>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B294-42D2-A6DB-5F40DFE22C03}"/>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B294-42D2-A6DB-5F40DFE22C0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'Top 4 Oppty'!$A$2:$A$6</c:f>
              <c:strCache>
                <c:ptCount val="4"/>
                <c:pt idx="0">
                  <c:v>Fire</c:v>
                </c:pt>
                <c:pt idx="1">
                  <c:v>EL-Group Mediclaim</c:v>
                </c:pt>
                <c:pt idx="2">
                  <c:v>DB -Mega Policy</c:v>
                </c:pt>
                <c:pt idx="3">
                  <c:v>CVP GMC</c:v>
                </c:pt>
              </c:strCache>
            </c:strRef>
          </c:cat>
          <c:val>
            <c:numRef>
              <c:f>'Top 4 Oppty'!$B$2:$B$6</c:f>
              <c:numCache>
                <c:formatCode>General</c:formatCode>
                <c:ptCount val="4"/>
                <c:pt idx="0">
                  <c:v>500000</c:v>
                </c:pt>
                <c:pt idx="1">
                  <c:v>400000</c:v>
                </c:pt>
                <c:pt idx="2">
                  <c:v>400000</c:v>
                </c:pt>
                <c:pt idx="3">
                  <c:v>350000</c:v>
                </c:pt>
              </c:numCache>
            </c:numRef>
          </c:val>
          <c:extLst>
            <c:ext xmlns:c16="http://schemas.microsoft.com/office/drawing/2014/chart" uri="{C3380CC4-5D6E-409C-BE32-E72D297353CC}">
              <c16:uniqueId val="{00000008-B294-42D2-A6DB-5F40DFE22C03}"/>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9.xml.rels><?xml version="1.0" encoding="UTF-8" standalone="yes"?>
<Relationships xmlns="http://schemas.openxmlformats.org/package/2006/relationships"><Relationship Id="rId3" Type="http://schemas.openxmlformats.org/officeDocument/2006/relationships/chart" Target="../charts/chart10.xml"/><Relationship Id="rId7" Type="http://schemas.openxmlformats.org/officeDocument/2006/relationships/chart" Target="../charts/chart14.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8</xdr:col>
      <xdr:colOff>123825</xdr:colOff>
      <xdr:row>4</xdr:row>
      <xdr:rowOff>100011</xdr:rowOff>
    </xdr:from>
    <xdr:to>
      <xdr:col>16</xdr:col>
      <xdr:colOff>200025</xdr:colOff>
      <xdr:row>19</xdr:row>
      <xdr:rowOff>66674</xdr:rowOff>
    </xdr:to>
    <xdr:graphicFrame macro="">
      <xdr:nvGraphicFramePr>
        <xdr:cNvPr id="10" name="Chart 9">
          <a:extLst>
            <a:ext uri="{FF2B5EF4-FFF2-40B4-BE49-F238E27FC236}">
              <a16:creationId xmlns:a16="http://schemas.microsoft.com/office/drawing/2014/main" id="{FD3E4EC3-49DB-73A6-5C86-745B4D07B07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295274</xdr:colOff>
      <xdr:row>4</xdr:row>
      <xdr:rowOff>90487</xdr:rowOff>
    </xdr:from>
    <xdr:to>
      <xdr:col>13</xdr:col>
      <xdr:colOff>447675</xdr:colOff>
      <xdr:row>19</xdr:row>
      <xdr:rowOff>85725</xdr:rowOff>
    </xdr:to>
    <xdr:graphicFrame macro="">
      <xdr:nvGraphicFramePr>
        <xdr:cNvPr id="2" name="Chart 1">
          <a:extLst>
            <a:ext uri="{FF2B5EF4-FFF2-40B4-BE49-F238E27FC236}">
              <a16:creationId xmlns:a16="http://schemas.microsoft.com/office/drawing/2014/main" id="{20A99ABD-EE88-A896-82C7-F4AE0E1728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9524</xdr:colOff>
      <xdr:row>1</xdr:row>
      <xdr:rowOff>14286</xdr:rowOff>
    </xdr:from>
    <xdr:to>
      <xdr:col>12</xdr:col>
      <xdr:colOff>590549</xdr:colOff>
      <xdr:row>17</xdr:row>
      <xdr:rowOff>28575</xdr:rowOff>
    </xdr:to>
    <xdr:graphicFrame macro="">
      <xdr:nvGraphicFramePr>
        <xdr:cNvPr id="3" name="Chart 2">
          <a:extLst>
            <a:ext uri="{FF2B5EF4-FFF2-40B4-BE49-F238E27FC236}">
              <a16:creationId xmlns:a16="http://schemas.microsoft.com/office/drawing/2014/main" id="{4B9C5E52-2619-370C-514E-0389939586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561975</xdr:colOff>
      <xdr:row>3</xdr:row>
      <xdr:rowOff>90487</xdr:rowOff>
    </xdr:from>
    <xdr:to>
      <xdr:col>11</xdr:col>
      <xdr:colOff>257175</xdr:colOff>
      <xdr:row>17</xdr:row>
      <xdr:rowOff>166687</xdr:rowOff>
    </xdr:to>
    <xdr:graphicFrame macro="">
      <xdr:nvGraphicFramePr>
        <xdr:cNvPr id="5" name="Chart 4">
          <a:extLst>
            <a:ext uri="{FF2B5EF4-FFF2-40B4-BE49-F238E27FC236}">
              <a16:creationId xmlns:a16="http://schemas.microsoft.com/office/drawing/2014/main" id="{8B89B1A2-83C7-941F-E246-A9B6E1DD4DC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257175</xdr:colOff>
      <xdr:row>2</xdr:row>
      <xdr:rowOff>38100</xdr:rowOff>
    </xdr:from>
    <xdr:to>
      <xdr:col>11</xdr:col>
      <xdr:colOff>561975</xdr:colOff>
      <xdr:row>16</xdr:row>
      <xdr:rowOff>114300</xdr:rowOff>
    </xdr:to>
    <xdr:graphicFrame macro="">
      <xdr:nvGraphicFramePr>
        <xdr:cNvPr id="2" name="Chart 1">
          <a:extLst>
            <a:ext uri="{FF2B5EF4-FFF2-40B4-BE49-F238E27FC236}">
              <a16:creationId xmlns:a16="http://schemas.microsoft.com/office/drawing/2014/main" id="{322B175E-90CD-0489-A854-7727C4DD9D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4</xdr:col>
      <xdr:colOff>438150</xdr:colOff>
      <xdr:row>3</xdr:row>
      <xdr:rowOff>90487</xdr:rowOff>
    </xdr:from>
    <xdr:to>
      <xdr:col>12</xdr:col>
      <xdr:colOff>133350</xdr:colOff>
      <xdr:row>17</xdr:row>
      <xdr:rowOff>166687</xdr:rowOff>
    </xdr:to>
    <xdr:graphicFrame macro="">
      <xdr:nvGraphicFramePr>
        <xdr:cNvPr id="3" name="Chart 2">
          <a:extLst>
            <a:ext uri="{FF2B5EF4-FFF2-40B4-BE49-F238E27FC236}">
              <a16:creationId xmlns:a16="http://schemas.microsoft.com/office/drawing/2014/main" id="{AAA542CB-86B1-BBEA-ABE8-DD890CD30C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561975</xdr:colOff>
      <xdr:row>3</xdr:row>
      <xdr:rowOff>90487</xdr:rowOff>
    </xdr:from>
    <xdr:to>
      <xdr:col>11</xdr:col>
      <xdr:colOff>257175</xdr:colOff>
      <xdr:row>17</xdr:row>
      <xdr:rowOff>166687</xdr:rowOff>
    </xdr:to>
    <xdr:graphicFrame macro="">
      <xdr:nvGraphicFramePr>
        <xdr:cNvPr id="2" name="Chart 1">
          <a:extLst>
            <a:ext uri="{FF2B5EF4-FFF2-40B4-BE49-F238E27FC236}">
              <a16:creationId xmlns:a16="http://schemas.microsoft.com/office/drawing/2014/main" id="{C16BD1E1-40B8-0BFE-AC35-C20DE5136A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4</xdr:col>
      <xdr:colOff>0</xdr:colOff>
      <xdr:row>15</xdr:row>
      <xdr:rowOff>47625</xdr:rowOff>
    </xdr:to>
    <mc:AlternateContent xmlns:mc="http://schemas.openxmlformats.org/markup-compatibility/2006" xmlns:a14="http://schemas.microsoft.com/office/drawing/2010/main">
      <mc:Choice Requires="a14">
        <xdr:graphicFrame macro="">
          <xdr:nvGraphicFramePr>
            <xdr:cNvPr id="2" name="income_class 1">
              <a:extLst>
                <a:ext uri="{FF2B5EF4-FFF2-40B4-BE49-F238E27FC236}">
                  <a16:creationId xmlns:a16="http://schemas.microsoft.com/office/drawing/2014/main" id="{AF9FE9CB-19C4-43A5-9B1D-E7D45F60EC6F}"/>
                </a:ext>
              </a:extLst>
            </xdr:cNvPr>
            <xdr:cNvGraphicFramePr/>
          </xdr:nvGraphicFramePr>
          <xdr:xfrm>
            <a:off x="0" y="0"/>
            <a:ext cx="0" cy="0"/>
          </xdr:xfrm>
          <a:graphic>
            <a:graphicData uri="http://schemas.microsoft.com/office/drawing/2010/slicer">
              <sle:slicer xmlns:sle="http://schemas.microsoft.com/office/drawing/2010/slicer" name="income_class 1"/>
            </a:graphicData>
          </a:graphic>
        </xdr:graphicFrame>
      </mc:Choice>
      <mc:Fallback xmlns="">
        <xdr:sp macro="" textlink="">
          <xdr:nvSpPr>
            <xdr:cNvPr id="0" name=""/>
            <xdr:cNvSpPr>
              <a:spLocks noTextEdit="1"/>
            </xdr:cNvSpPr>
          </xdr:nvSpPr>
          <xdr:spPr>
            <a:xfrm>
              <a:off x="609600" y="3810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0</xdr:colOff>
      <xdr:row>2</xdr:row>
      <xdr:rowOff>0</xdr:rowOff>
    </xdr:from>
    <xdr:to>
      <xdr:col>10</xdr:col>
      <xdr:colOff>285750</xdr:colOff>
      <xdr:row>9</xdr:row>
      <xdr:rowOff>38100</xdr:rowOff>
    </xdr:to>
    <mc:AlternateContent xmlns:mc="http://schemas.openxmlformats.org/markup-compatibility/2006" xmlns:tsle="http://schemas.microsoft.com/office/drawing/2012/timeslicer">
      <mc:Choice Requires="tsle">
        <xdr:graphicFrame macro="">
          <xdr:nvGraphicFramePr>
            <xdr:cNvPr id="3" name="meeting_date 1">
              <a:extLst>
                <a:ext uri="{FF2B5EF4-FFF2-40B4-BE49-F238E27FC236}">
                  <a16:creationId xmlns:a16="http://schemas.microsoft.com/office/drawing/2014/main" id="{677A0B2E-2D43-4ABF-A335-896277B997F9}"/>
                </a:ext>
              </a:extLst>
            </xdr:cNvPr>
            <xdr:cNvGraphicFramePr/>
          </xdr:nvGraphicFramePr>
          <xdr:xfrm>
            <a:off x="0" y="0"/>
            <a:ext cx="0" cy="0"/>
          </xdr:xfrm>
          <a:graphic>
            <a:graphicData uri="http://schemas.microsoft.com/office/drawing/2012/timeslicer">
              <tsle:timeslicer name="meeting_date 1"/>
            </a:graphicData>
          </a:graphic>
        </xdr:graphicFrame>
      </mc:Choice>
      <mc:Fallback xmlns="">
        <xdr:sp macro="" textlink="">
          <xdr:nvSpPr>
            <xdr:cNvPr id="0" name=""/>
            <xdr:cNvSpPr>
              <a:spLocks noTextEdit="1"/>
            </xdr:cNvSpPr>
          </xdr:nvSpPr>
          <xdr:spPr>
            <a:xfrm>
              <a:off x="3048000" y="381000"/>
              <a:ext cx="333375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5</xdr:col>
      <xdr:colOff>0</xdr:colOff>
      <xdr:row>10</xdr:row>
      <xdr:rowOff>0</xdr:rowOff>
    </xdr:from>
    <xdr:to>
      <xdr:col>8</xdr:col>
      <xdr:colOff>0</xdr:colOff>
      <xdr:row>20</xdr:row>
      <xdr:rowOff>123825</xdr:rowOff>
    </xdr:to>
    <mc:AlternateContent xmlns:mc="http://schemas.openxmlformats.org/markup-compatibility/2006" xmlns:a14="http://schemas.microsoft.com/office/drawing/2010/main">
      <mc:Choice Requires="a14">
        <xdr:graphicFrame macro="">
          <xdr:nvGraphicFramePr>
            <xdr:cNvPr id="4" name="stage 1">
              <a:extLst>
                <a:ext uri="{FF2B5EF4-FFF2-40B4-BE49-F238E27FC236}">
                  <a16:creationId xmlns:a16="http://schemas.microsoft.com/office/drawing/2014/main" id="{CF964721-8E5B-495C-985B-08A6B2C2036B}"/>
                </a:ext>
              </a:extLst>
            </xdr:cNvPr>
            <xdr:cNvGraphicFramePr/>
          </xdr:nvGraphicFramePr>
          <xdr:xfrm>
            <a:off x="0" y="0"/>
            <a:ext cx="0" cy="0"/>
          </xdr:xfrm>
          <a:graphic>
            <a:graphicData uri="http://schemas.microsoft.com/office/drawing/2010/slicer">
              <sle:slicer xmlns:sle="http://schemas.microsoft.com/office/drawing/2010/slicer" name="stage 1"/>
            </a:graphicData>
          </a:graphic>
        </xdr:graphicFrame>
      </mc:Choice>
      <mc:Fallback xmlns="">
        <xdr:sp macro="" textlink="">
          <xdr:nvSpPr>
            <xdr:cNvPr id="0" name=""/>
            <xdr:cNvSpPr>
              <a:spLocks noTextEdit="1"/>
            </xdr:cNvSpPr>
          </xdr:nvSpPr>
          <xdr:spPr>
            <a:xfrm>
              <a:off x="3048000" y="1905000"/>
              <a:ext cx="1828800" cy="20288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0</xdr:colOff>
      <xdr:row>2</xdr:row>
      <xdr:rowOff>0</xdr:rowOff>
    </xdr:from>
    <xdr:to>
      <xdr:col>14</xdr:col>
      <xdr:colOff>0</xdr:colOff>
      <xdr:row>18</xdr:row>
      <xdr:rowOff>133350</xdr:rowOff>
    </xdr:to>
    <mc:AlternateContent xmlns:mc="http://schemas.openxmlformats.org/markup-compatibility/2006" xmlns:a14="http://schemas.microsoft.com/office/drawing/2010/main">
      <mc:Choice Requires="a14">
        <xdr:graphicFrame macro="">
          <xdr:nvGraphicFramePr>
            <xdr:cNvPr id="5" name="solution_group 1">
              <a:extLst>
                <a:ext uri="{FF2B5EF4-FFF2-40B4-BE49-F238E27FC236}">
                  <a16:creationId xmlns:a16="http://schemas.microsoft.com/office/drawing/2014/main" id="{DA228637-B26C-4B0D-BCD1-7A34C2527BC6}"/>
                </a:ext>
              </a:extLst>
            </xdr:cNvPr>
            <xdr:cNvGraphicFramePr/>
          </xdr:nvGraphicFramePr>
          <xdr:xfrm>
            <a:off x="0" y="0"/>
            <a:ext cx="0" cy="0"/>
          </xdr:xfrm>
          <a:graphic>
            <a:graphicData uri="http://schemas.microsoft.com/office/drawing/2010/slicer">
              <sle:slicer xmlns:sle="http://schemas.microsoft.com/office/drawing/2010/slicer" name="solution_group 1"/>
            </a:graphicData>
          </a:graphic>
        </xdr:graphicFrame>
      </mc:Choice>
      <mc:Fallback xmlns="">
        <xdr:sp macro="" textlink="">
          <xdr:nvSpPr>
            <xdr:cNvPr id="0" name=""/>
            <xdr:cNvSpPr>
              <a:spLocks noTextEdit="1"/>
            </xdr:cNvSpPr>
          </xdr:nvSpPr>
          <xdr:spPr>
            <a:xfrm>
              <a:off x="6705600" y="381000"/>
              <a:ext cx="1828800" cy="31813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9.xml><?xml version="1.0" encoding="utf-8"?>
<xdr:wsDr xmlns:xdr="http://schemas.openxmlformats.org/drawingml/2006/spreadsheetDrawing" xmlns:a="http://schemas.openxmlformats.org/drawingml/2006/main">
  <xdr:twoCellAnchor>
    <xdr:from>
      <xdr:col>2</xdr:col>
      <xdr:colOff>28012</xdr:colOff>
      <xdr:row>30</xdr:row>
      <xdr:rowOff>308162</xdr:rowOff>
    </xdr:from>
    <xdr:to>
      <xdr:col>10</xdr:col>
      <xdr:colOff>0</xdr:colOff>
      <xdr:row>42</xdr:row>
      <xdr:rowOff>15875</xdr:rowOff>
    </xdr:to>
    <xdr:graphicFrame macro="">
      <xdr:nvGraphicFramePr>
        <xdr:cNvPr id="2" name="Chart 1">
          <a:extLst>
            <a:ext uri="{FF2B5EF4-FFF2-40B4-BE49-F238E27FC236}">
              <a16:creationId xmlns:a16="http://schemas.microsoft.com/office/drawing/2014/main" id="{8F0915F0-E2A9-4550-9FA1-826000741C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383242</xdr:colOff>
      <xdr:row>2</xdr:row>
      <xdr:rowOff>171450</xdr:rowOff>
    </xdr:from>
    <xdr:to>
      <xdr:col>10</xdr:col>
      <xdr:colOff>0</xdr:colOff>
      <xdr:row>17</xdr:row>
      <xdr:rowOff>0</xdr:rowOff>
    </xdr:to>
    <xdr:graphicFrame macro="">
      <xdr:nvGraphicFramePr>
        <xdr:cNvPr id="3" name="Chart 2">
          <a:extLst>
            <a:ext uri="{FF2B5EF4-FFF2-40B4-BE49-F238E27FC236}">
              <a16:creationId xmlns:a16="http://schemas.microsoft.com/office/drawing/2014/main" id="{BAAC8147-94E8-4378-8D73-FF12CFAEC4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0</xdr:colOff>
      <xdr:row>2</xdr:row>
      <xdr:rowOff>133350</xdr:rowOff>
    </xdr:from>
    <xdr:to>
      <xdr:col>14</xdr:col>
      <xdr:colOff>0</xdr:colOff>
      <xdr:row>18</xdr:row>
      <xdr:rowOff>336176</xdr:rowOff>
    </xdr:to>
    <xdr:graphicFrame macro="">
      <xdr:nvGraphicFramePr>
        <xdr:cNvPr id="4" name="Chart 3">
          <a:extLst>
            <a:ext uri="{FF2B5EF4-FFF2-40B4-BE49-F238E27FC236}">
              <a16:creationId xmlns:a16="http://schemas.microsoft.com/office/drawing/2014/main" id="{35174DD4-A5A6-496B-BD25-84EB2C16B3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xdr:colOff>
      <xdr:row>17</xdr:row>
      <xdr:rowOff>0</xdr:rowOff>
    </xdr:from>
    <xdr:to>
      <xdr:col>8</xdr:col>
      <xdr:colOff>0</xdr:colOff>
      <xdr:row>31</xdr:row>
      <xdr:rowOff>28014</xdr:rowOff>
    </xdr:to>
    <xdr:graphicFrame macro="">
      <xdr:nvGraphicFramePr>
        <xdr:cNvPr id="5" name="Chart 4">
          <a:extLst>
            <a:ext uri="{FF2B5EF4-FFF2-40B4-BE49-F238E27FC236}">
              <a16:creationId xmlns:a16="http://schemas.microsoft.com/office/drawing/2014/main" id="{2CBD8BB5-B813-4DF3-A78F-70DA5744CB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0</xdr:colOff>
      <xdr:row>18</xdr:row>
      <xdr:rowOff>336176</xdr:rowOff>
    </xdr:from>
    <xdr:to>
      <xdr:col>14</xdr:col>
      <xdr:colOff>0</xdr:colOff>
      <xdr:row>31</xdr:row>
      <xdr:rowOff>-1</xdr:rowOff>
    </xdr:to>
    <xdr:graphicFrame macro="">
      <xdr:nvGraphicFramePr>
        <xdr:cNvPr id="6" name="Chart 5">
          <a:extLst>
            <a:ext uri="{FF2B5EF4-FFF2-40B4-BE49-F238E27FC236}">
              <a16:creationId xmlns:a16="http://schemas.microsoft.com/office/drawing/2014/main" id="{5A2D4885-C140-4FC3-88CC-9018A77306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2</xdr:row>
      <xdr:rowOff>152401</xdr:rowOff>
    </xdr:from>
    <xdr:to>
      <xdr:col>4</xdr:col>
      <xdr:colOff>419100</xdr:colOff>
      <xdr:row>17</xdr:row>
      <xdr:rowOff>1</xdr:rowOff>
    </xdr:to>
    <xdr:graphicFrame macro="">
      <xdr:nvGraphicFramePr>
        <xdr:cNvPr id="7" name="Chart 6">
          <a:extLst>
            <a:ext uri="{FF2B5EF4-FFF2-40B4-BE49-F238E27FC236}">
              <a16:creationId xmlns:a16="http://schemas.microsoft.com/office/drawing/2014/main" id="{47B36144-BF9B-46D6-AF03-F7F3742AB9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14</xdr:col>
      <xdr:colOff>19050</xdr:colOff>
      <xdr:row>3</xdr:row>
      <xdr:rowOff>0</xdr:rowOff>
    </xdr:from>
    <xdr:to>
      <xdr:col>17</xdr:col>
      <xdr:colOff>0</xdr:colOff>
      <xdr:row>11</xdr:row>
      <xdr:rowOff>0</xdr:rowOff>
    </xdr:to>
    <mc:AlternateContent xmlns:mc="http://schemas.openxmlformats.org/markup-compatibility/2006" xmlns:a14="http://schemas.microsoft.com/office/drawing/2010/main">
      <mc:Choice Requires="a14">
        <xdr:graphicFrame macro="">
          <xdr:nvGraphicFramePr>
            <xdr:cNvPr id="9" name="income_class 2">
              <a:extLst>
                <a:ext uri="{FF2B5EF4-FFF2-40B4-BE49-F238E27FC236}">
                  <a16:creationId xmlns:a16="http://schemas.microsoft.com/office/drawing/2014/main" id="{3485B704-F446-41DB-A37E-8BC7F394D684}"/>
                </a:ext>
              </a:extLst>
            </xdr:cNvPr>
            <xdr:cNvGraphicFramePr/>
          </xdr:nvGraphicFramePr>
          <xdr:xfrm>
            <a:off x="0" y="0"/>
            <a:ext cx="0" cy="0"/>
          </xdr:xfrm>
          <a:graphic>
            <a:graphicData uri="http://schemas.microsoft.com/office/drawing/2010/slicer">
              <sle:slicer xmlns:sle="http://schemas.microsoft.com/office/drawing/2010/slicer" name="income_class 2"/>
            </a:graphicData>
          </a:graphic>
        </xdr:graphicFrame>
      </mc:Choice>
      <mc:Fallback xmlns="">
        <xdr:sp macro="" textlink="">
          <xdr:nvSpPr>
            <xdr:cNvPr id="0" name=""/>
            <xdr:cNvSpPr>
              <a:spLocks noTextEdit="1"/>
            </xdr:cNvSpPr>
          </xdr:nvSpPr>
          <xdr:spPr>
            <a:xfrm>
              <a:off x="18802350" y="571500"/>
              <a:ext cx="2266950" cy="1524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0</xdr:colOff>
      <xdr:row>10</xdr:row>
      <xdr:rowOff>182096</xdr:rowOff>
    </xdr:from>
    <xdr:to>
      <xdr:col>17</xdr:col>
      <xdr:colOff>0</xdr:colOff>
      <xdr:row>18</xdr:row>
      <xdr:rowOff>98052</xdr:rowOff>
    </xdr:to>
    <mc:AlternateContent xmlns:mc="http://schemas.openxmlformats.org/markup-compatibility/2006" xmlns:a14="http://schemas.microsoft.com/office/drawing/2010/main">
      <mc:Choice Requires="a14">
        <xdr:graphicFrame macro="">
          <xdr:nvGraphicFramePr>
            <xdr:cNvPr id="10" name="stage 2">
              <a:extLst>
                <a:ext uri="{FF2B5EF4-FFF2-40B4-BE49-F238E27FC236}">
                  <a16:creationId xmlns:a16="http://schemas.microsoft.com/office/drawing/2014/main" id="{E7889C2B-A624-43EB-A067-3CF80D09FE17}"/>
                </a:ext>
              </a:extLst>
            </xdr:cNvPr>
            <xdr:cNvGraphicFramePr/>
          </xdr:nvGraphicFramePr>
          <xdr:xfrm>
            <a:off x="0" y="0"/>
            <a:ext cx="0" cy="0"/>
          </xdr:xfrm>
          <a:graphic>
            <a:graphicData uri="http://schemas.microsoft.com/office/drawing/2010/slicer">
              <sle:slicer xmlns:sle="http://schemas.microsoft.com/office/drawing/2010/slicer" name="stage 2"/>
            </a:graphicData>
          </a:graphic>
        </xdr:graphicFrame>
      </mc:Choice>
      <mc:Fallback xmlns="">
        <xdr:sp macro="" textlink="">
          <xdr:nvSpPr>
            <xdr:cNvPr id="0" name=""/>
            <xdr:cNvSpPr>
              <a:spLocks noTextEdit="1"/>
            </xdr:cNvSpPr>
          </xdr:nvSpPr>
          <xdr:spPr>
            <a:xfrm>
              <a:off x="18716625" y="2087096"/>
              <a:ext cx="1892860" cy="158283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0</xdr:colOff>
      <xdr:row>27</xdr:row>
      <xdr:rowOff>0</xdr:rowOff>
    </xdr:from>
    <xdr:to>
      <xdr:col>16</xdr:col>
      <xdr:colOff>1058210</xdr:colOff>
      <xdr:row>37</xdr:row>
      <xdr:rowOff>0</xdr:rowOff>
    </xdr:to>
    <mc:AlternateContent xmlns:mc="http://schemas.openxmlformats.org/markup-compatibility/2006" xmlns:a14="http://schemas.microsoft.com/office/drawing/2010/main">
      <mc:Choice Requires="a14">
        <xdr:graphicFrame macro="">
          <xdr:nvGraphicFramePr>
            <xdr:cNvPr id="11" name="solution_group 2">
              <a:extLst>
                <a:ext uri="{FF2B5EF4-FFF2-40B4-BE49-F238E27FC236}">
                  <a16:creationId xmlns:a16="http://schemas.microsoft.com/office/drawing/2014/main" id="{4D7AD43B-6513-442E-ADF0-3139C9B62CD6}"/>
                </a:ext>
              </a:extLst>
            </xdr:cNvPr>
            <xdr:cNvGraphicFramePr/>
          </xdr:nvGraphicFramePr>
          <xdr:xfrm>
            <a:off x="0" y="0"/>
            <a:ext cx="0" cy="0"/>
          </xdr:xfrm>
          <a:graphic>
            <a:graphicData uri="http://schemas.microsoft.com/office/drawing/2010/slicer">
              <sle:slicer xmlns:sle="http://schemas.microsoft.com/office/drawing/2010/slicer" name="solution_group 2"/>
            </a:graphicData>
          </a:graphic>
        </xdr:graphicFrame>
      </mc:Choice>
      <mc:Fallback xmlns="">
        <xdr:sp macro="" textlink="">
          <xdr:nvSpPr>
            <xdr:cNvPr id="0" name=""/>
            <xdr:cNvSpPr>
              <a:spLocks noTextEdit="1"/>
            </xdr:cNvSpPr>
          </xdr:nvSpPr>
          <xdr:spPr>
            <a:xfrm>
              <a:off x="18716625" y="6286500"/>
              <a:ext cx="2264710" cy="2857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1768472</xdr:colOff>
      <xdr:row>37</xdr:row>
      <xdr:rowOff>102721</xdr:rowOff>
    </xdr:from>
    <xdr:to>
      <xdr:col>16</xdr:col>
      <xdr:colOff>1054099</xdr:colOff>
      <xdr:row>42</xdr:row>
      <xdr:rowOff>0</xdr:rowOff>
    </xdr:to>
    <mc:AlternateContent xmlns:mc="http://schemas.openxmlformats.org/markup-compatibility/2006" xmlns:tsle="http://schemas.microsoft.com/office/drawing/2012/timeslicer">
      <mc:Choice Requires="tsle">
        <xdr:graphicFrame macro="">
          <xdr:nvGraphicFramePr>
            <xdr:cNvPr id="13" name="meeting_date 2">
              <a:extLst>
                <a:ext uri="{FF2B5EF4-FFF2-40B4-BE49-F238E27FC236}">
                  <a16:creationId xmlns:a16="http://schemas.microsoft.com/office/drawing/2014/main" id="{D518CF57-DF2C-401C-B275-4BDF1BD97C4E}"/>
                </a:ext>
              </a:extLst>
            </xdr:cNvPr>
            <xdr:cNvGraphicFramePr/>
          </xdr:nvGraphicFramePr>
          <xdr:xfrm>
            <a:off x="0" y="0"/>
            <a:ext cx="0" cy="0"/>
          </xdr:xfrm>
          <a:graphic>
            <a:graphicData uri="http://schemas.microsoft.com/office/drawing/2012/timeslicer">
              <tsle:timeslicer name="meeting_date 2"/>
            </a:graphicData>
          </a:graphic>
        </xdr:graphicFrame>
      </mc:Choice>
      <mc:Fallback xmlns="">
        <xdr:sp macro="" textlink="">
          <xdr:nvSpPr>
            <xdr:cNvPr id="0" name=""/>
            <xdr:cNvSpPr>
              <a:spLocks noTextEdit="1"/>
            </xdr:cNvSpPr>
          </xdr:nvSpPr>
          <xdr:spPr>
            <a:xfrm>
              <a:off x="16894172" y="9361021"/>
              <a:ext cx="4162427" cy="1592729"/>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13</xdr:col>
      <xdr:colOff>1889124</xdr:colOff>
      <xdr:row>18</xdr:row>
      <xdr:rowOff>0</xdr:rowOff>
    </xdr:from>
    <xdr:to>
      <xdr:col>16</xdr:col>
      <xdr:colOff>1054099</xdr:colOff>
      <xdr:row>27</xdr:row>
      <xdr:rowOff>0</xdr:rowOff>
    </xdr:to>
    <mc:AlternateContent xmlns:mc="http://schemas.openxmlformats.org/markup-compatibility/2006" xmlns:a14="http://schemas.microsoft.com/office/drawing/2010/main">
      <mc:Choice Requires="a14">
        <xdr:graphicFrame macro="">
          <xdr:nvGraphicFramePr>
            <xdr:cNvPr id="15" name="specialty">
              <a:extLst>
                <a:ext uri="{FF2B5EF4-FFF2-40B4-BE49-F238E27FC236}">
                  <a16:creationId xmlns:a16="http://schemas.microsoft.com/office/drawing/2014/main" id="{74A5A68F-EF18-73E8-C287-B2E12260C10B}"/>
                </a:ext>
              </a:extLst>
            </xdr:cNvPr>
            <xdr:cNvGraphicFramePr/>
          </xdr:nvGraphicFramePr>
          <xdr:xfrm>
            <a:off x="0" y="0"/>
            <a:ext cx="0" cy="0"/>
          </xdr:xfrm>
          <a:graphic>
            <a:graphicData uri="http://schemas.microsoft.com/office/drawing/2010/slicer">
              <sle:slicer xmlns:sle="http://schemas.microsoft.com/office/drawing/2010/slicer" name="specialty"/>
            </a:graphicData>
          </a:graphic>
        </xdr:graphicFrame>
      </mc:Choice>
      <mc:Fallback xmlns="">
        <xdr:sp macro="" textlink="">
          <xdr:nvSpPr>
            <xdr:cNvPr id="0" name=""/>
            <xdr:cNvSpPr>
              <a:spLocks noTextEdit="1"/>
            </xdr:cNvSpPr>
          </xdr:nvSpPr>
          <xdr:spPr>
            <a:xfrm>
              <a:off x="18716624" y="3571875"/>
              <a:ext cx="2260600" cy="27146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0</xdr:colOff>
      <xdr:row>30</xdr:row>
      <xdr:rowOff>273049</xdr:rowOff>
    </xdr:from>
    <xdr:to>
      <xdr:col>13</xdr:col>
      <xdr:colOff>0</xdr:colOff>
      <xdr:row>42</xdr:row>
      <xdr:rowOff>31749</xdr:rowOff>
    </xdr:to>
    <xdr:graphicFrame macro="">
      <xdr:nvGraphicFramePr>
        <xdr:cNvPr id="16" name="Chart 15">
          <a:extLst>
            <a:ext uri="{FF2B5EF4-FFF2-40B4-BE49-F238E27FC236}">
              <a16:creationId xmlns:a16="http://schemas.microsoft.com/office/drawing/2014/main" id="{74B13631-7F9E-463A-AB14-494C547688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0</xdr:colOff>
      <xdr:row>0</xdr:row>
      <xdr:rowOff>0</xdr:rowOff>
    </xdr:from>
    <xdr:to>
      <xdr:col>17</xdr:col>
      <xdr:colOff>0</xdr:colOff>
      <xdr:row>2</xdr:row>
      <xdr:rowOff>171450</xdr:rowOff>
    </xdr:to>
    <xdr:sp macro="" textlink="">
      <xdr:nvSpPr>
        <xdr:cNvPr id="8" name="Rectangle 7">
          <a:extLst>
            <a:ext uri="{FF2B5EF4-FFF2-40B4-BE49-F238E27FC236}">
              <a16:creationId xmlns:a16="http://schemas.microsoft.com/office/drawing/2014/main" id="{F57814DB-7BB1-6B62-A1BA-2DA0C4880185}"/>
            </a:ext>
          </a:extLst>
        </xdr:cNvPr>
        <xdr:cNvSpPr/>
      </xdr:nvSpPr>
      <xdr:spPr>
        <a:xfrm>
          <a:off x="0" y="0"/>
          <a:ext cx="21069300" cy="552450"/>
        </a:xfrm>
        <a:prstGeom prst="rect">
          <a:avLst/>
        </a:prstGeom>
        <a:solidFill>
          <a:schemeClr val="tx1">
            <a:lumMod val="65000"/>
            <a:lumOff val="3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3200" b="1">
              <a:solidFill>
                <a:schemeClr val="bg1"/>
              </a:solidFill>
            </a:rPr>
            <a:t>Insurance</a:t>
          </a:r>
          <a:r>
            <a:rPr lang="en-IN" sz="3200" b="1" baseline="0">
              <a:solidFill>
                <a:schemeClr val="bg1"/>
              </a:solidFill>
            </a:rPr>
            <a:t> Analystics Dashboard</a:t>
          </a:r>
          <a:endParaRPr lang="en-IN" sz="3200" b="1">
            <a:solidFill>
              <a:schemeClr val="bg1"/>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2" Type="http://schemas.openxmlformats.org/officeDocument/2006/relationships/externalLinkPath" Target="Consolidated%20Insurance%20Project.xlsx" TargetMode="External"/><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2" Type="http://schemas.openxmlformats.org/officeDocument/2006/relationships/externalLinkPath" Target="Consolidated%20Insurance%20Project.xlsx" TargetMode="External"/><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2" Type="http://schemas.openxmlformats.org/officeDocument/2006/relationships/externalLinkPath" Target="Consolidated%20Insurance%20Project.xlsx" TargetMode="External"/><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2" Type="http://schemas.openxmlformats.org/officeDocument/2006/relationships/externalLinkPath" Target="Consolidated%20Insurance%20Project.xlsx" TargetMode="External"/><Relationship Id="rId1" Type="http://schemas.openxmlformats.org/officeDocument/2006/relationships/pivotCacheRecords" Target="pivotCacheRecords5.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PARKLING STARS" refreshedDate="45902.783332523148" createdVersion="8" refreshedVersion="8" minRefreshableVersion="3" recordCount="321" xr:uid="{55EAEBDC-CC44-458B-86EA-3D029B595C32}">
  <cacheSource type="worksheet">
    <worksheetSource name="Master_Table"/>
  </cacheSource>
  <cacheFields count="36">
    <cacheField name="client_name" numFmtId="0">
      <sharedItems containsBlank="1"/>
    </cacheField>
    <cacheField name="policy_number" numFmtId="0">
      <sharedItems containsBlank="1" containsMixedTypes="1" containsNumber="1" containsInteger="1" minValue="3393" maxValue="3.213400201191E+23" count="188">
        <s v="2414 2022 4088 1000 000"/>
        <s v="2414202781173700100"/>
        <s v="0655001825 01"/>
        <s v="237164239 00"/>
        <s v="4101190700000015-00"/>
        <s v="2250010276"/>
        <s v="2280062933"/>
        <s v="0865074115 01"/>
        <s v="3114202963436199900"/>
        <s v="640002371"/>
        <s v="0865078325 00"/>
        <s v="'310300111910000401"/>
        <s v="301002850"/>
        <s v="2412201937457200100"/>
        <s v="0830018899Â 01"/>
        <s v="OG-19-2001-3315-00000015"/>
        <s v="4005/134645920/01/000"/>
        <s v="2002/160040691/00/000"/>
        <s v="'14220011190100000062"/>
        <s v="2690000138 04"/>
        <s v="30003393"/>
        <s v="'23060036180200000022"/>
        <s v="141400/11/2018/737"/>
        <s v="'91000036191500000014"/>
        <s v="302102591"/>
        <s v="2018-F0541357-FRE"/>
        <s v="FM00104260000100"/>
        <s v="41045915"/>
        <s v="OG-18-2202-4091-00000964"/>
        <s v="15552994"/>
        <s v="2002/174911788/00/000"/>
        <s v="0865082088 00"/>
        <s v="0865000748 01"/>
        <s v="304003070"/>
        <m/>
        <n v="2.4142020928135997E+18"/>
        <s v="OG-19-2202-1018-00000060"/>
        <s v="OG-19-2202-3383-00000010"/>
        <s v="020P000098803000"/>
        <n v="206314000000"/>
        <s v="OG-19-2202-3383-00000009"/>
        <s v="OG-19-2202-3383-00000008"/>
        <n v="3.1242015891005998E+18"/>
        <s v="H0048996"/>
        <s v="'001P000202300000"/>
        <s v="'001P000203500000"/>
        <n v="2280082714"/>
        <n v="8502066"/>
        <s v="2999202758217600000&quot;"/>
        <n v="9.9000044190299996E+19"/>
        <n v="3.1142027482102001E+18"/>
        <s v="OG-19-2202-1002-00001981"/>
        <s v="OG-19-2202-1002-00001901"/>
        <n v="41045707"/>
        <s v="H0056637"/>
        <s v="'99000021180100000013"/>
        <s v="P0019200001/9999/100301"/>
        <s v="0000000008502066-01"/>
        <n v="32119154"/>
        <s v="OG-19-2202-4010-00002245"/>
        <s v="OG-19-2202-1018-00000059"/>
        <s v="505373-01"/>
        <s v="H0067187"/>
        <s v="'99000044190700000001"/>
        <s v="100200080123/01/00"/>
        <s v="OG-19-2202-1018-00000054"/>
        <s v="OG-19-2202-1018-00000053"/>
        <s v="OG-19-2202-4001-00011127"/>
        <n v="304003763"/>
        <s v="2304001082-01"/>
        <s v="0600010004 01"/>
        <s v="0000000008907502-01"/>
        <n v="1.31000501801E+19"/>
        <n v="43190133"/>
        <n v="43189992"/>
        <n v="41045400"/>
        <n v="41045403"/>
        <s v="'99000046192400000001"/>
        <s v="'99000011180100000303"/>
        <s v="OG-19-2202-1018-00000055"/>
        <s v="0640002231 04"/>
        <n v="304003761"/>
        <s v="0301004265-1"/>
        <s v="0600010004 02"/>
        <s v="'99000044190300000004"/>
        <s v="'99000044180700000012"/>
        <s v="'99000011180100000340"/>
        <s v="'99000044185800000014"/>
        <s v="4092/151965577/01/000"/>
        <s v="5002/131802941/02/000"/>
        <n v="2000010048"/>
        <s v="4016/120415654/03/00"/>
        <n v="43187020"/>
        <s v="4006/131284920/02/000"/>
        <s v="NBI Domestic"/>
        <s v="4001/117090005/03/000"/>
        <s v="2600015265 00"/>
        <s v="4016/133979727/02/000"/>
        <s v="0640002231 03"/>
        <s v="'99000011180100000339"/>
        <n v="3.1142011248201999E+18"/>
        <s v="4005/134645920/02/000"/>
        <s v="4101190600000030-00"/>
        <s v="'99000036181500000054"/>
        <n v="54407334"/>
        <s v="AG00059046000100"/>
        <n v="2.9992028733097999E+18"/>
        <s v="2412/202063061201000"/>
        <n v="2.9992028732742001E+18"/>
        <n v="14055133"/>
        <n v="54445288"/>
        <n v="43193940"/>
        <s v="YB00020403000100"/>
        <s v="4016 138636598 02 000"/>
        <s v="OG-20-2202-0425-00000017"/>
        <s v="OG-20-2202-9931-00032558"/>
        <s v="OG-20-2202-4004-00000064"/>
        <s v="2412 2020 7182 9001 000"/>
        <n v="9.9000044190300006E+17"/>
        <n v="54522170"/>
        <s v="OG-20-2202-3304-00000009"/>
        <s v="OG-20-2202-3383-00000002"/>
        <s v="OG-20-2202-4002-00000010"/>
        <s v="OG-20-2202-4010-00000869"/>
        <s v="1011/142530053/01/000"/>
        <s v="OG-19-2202-1018-00000052"/>
        <s v="OG-20-2202-3315-00000009"/>
        <n v="43196279"/>
        <n v="3.1142029633600998E+18"/>
        <s v="0301004728-2019"/>
        <n v="3.213400201191E+23"/>
        <n v="22515779"/>
        <n v="9.9000046190100005E+19"/>
        <n v="9.90000111903E+19"/>
        <s v="0000000010619837-01"/>
        <s v="0000000007404252-02"/>
        <s v="OG-19-2202-3383-00000007"/>
        <n v="3.1142029974272998E+18"/>
        <s v="ER00004563000100"/>
        <s v="1003/126704810/02/000"/>
        <n v="43191791"/>
        <n v="3.1142029634361999E+18"/>
        <s v="OG-20-2202-1005-00000171-2019"/>
        <s v="OG-20-2202-4004-00000062"/>
        <n v="22531899"/>
        <s v="OG-19-2202-1018-00000047"/>
        <s v="'99000044180300000048"/>
        <n v="2280014070"/>
        <s v="180876-0000-01"/>
        <n v="1.203004619248E+19"/>
        <s v="'0655001664 03"/>
        <s v="'0304001755"/>
        <n v="3393"/>
        <s v="'99000044180300000078"/>
        <n v="2.4142027811737001E+18"/>
        <s v="OG-20-2202-3315-00000012"/>
        <n v="2.3060011180300001E+19"/>
        <n v="9.9000046190799995E+19"/>
        <s v="2019-L0138835-FWC"/>
        <s v="2019-L0139704-PBL"/>
        <s v="2018-F0513845-BSS"/>
        <s v="OG-20-2202-4004-00000043"/>
        <n v="9.9000044180300005E+19"/>
        <s v="PFS/I3353707/71/01/006343"/>
        <n v="3.1142031258438999E+18"/>
        <n v="43191787"/>
        <s v="OG-20-2202-4097-00000201"/>
        <s v="OG-20-2202-4097-00000170"/>
        <s v="OG-19-2202-1005-00000153"/>
        <s v="OG-20-2202-4097-00000171"/>
        <s v="'99000044180300000047"/>
        <s v="'99000044180300000076"/>
        <s v="'0300004329"/>
        <s v="TBA"/>
        <s v="'91000036191700000002"/>
        <n v="2.4142025629033999E+18"/>
        <s v="0830016972 02"/>
        <n v="41046110"/>
        <s v="4101191100000008-00"/>
        <n v="1.11200441808E+19"/>
        <s v="MCO/I3350570/71/01/006343"/>
        <s v="'11120044180300000011"/>
        <s v="LPGPA0000000200/01"/>
        <s v="'99000046192400000039"/>
        <n v="2280038722"/>
        <s v="32099602-01"/>
        <n v="2.9992015408021002E+18"/>
        <s v="'2302003268"/>
      </sharedItems>
    </cacheField>
    <cacheField name="policy_status" numFmtId="0">
      <sharedItems containsBlank="1" count="3">
        <s v="Active"/>
        <s v="Inactive"/>
        <m/>
      </sharedItems>
    </cacheField>
    <cacheField name="policy_start_date" numFmtId="14">
      <sharedItems containsNonDate="0" containsDate="1" containsString="0" containsBlank="1" minDate="2018-02-20T00:00:00" maxDate="2019-12-03T00:00:00"/>
    </cacheField>
    <cacheField name="policy_end_date" numFmtId="14">
      <sharedItems containsNonDate="0" containsDate="1" containsString="0" containsBlank="1" minDate="2019-02-19T00:00:00" maxDate="2020-12-02T00:00:00"/>
    </cacheField>
    <cacheField name="product_group" numFmtId="0">
      <sharedItems containsBlank="1" count="8">
        <s v="Marine"/>
        <s v="Fire"/>
        <s v="Employee Benefits"/>
        <s v="Miscellaneous"/>
        <s v="Liability"/>
        <m/>
        <s v="Engineering"/>
        <s v="Terrorism"/>
      </sharedItems>
    </cacheField>
    <cacheField name="Account Id" numFmtId="0">
      <sharedItems containsString="0" containsBlank="1" containsNumber="1" containsInteger="1" minValue="1" maxValue="13"/>
    </cacheField>
    <cacheField name="Account Exe ID" numFmtId="0">
      <sharedItems containsBlank="1" containsMixedTypes="1" containsNumber="1" containsInteger="1" minValue="1" maxValue="13" count="21">
        <s v="Vinay"/>
        <s v="Abhinav Shivam"/>
        <s v="Mark"/>
        <s v="Manish Sharma"/>
        <s v="Animesh Rawat"/>
        <s v="Ketan Jain"/>
        <s v="Shivani Sharma"/>
        <s v="Raju Kumar"/>
        <s v="Juli"/>
        <s v="Vididt Saha"/>
        <m/>
        <n v="1"/>
        <n v="13"/>
        <n v="2"/>
        <n v="3"/>
        <n v="10"/>
        <n v="6"/>
        <n v="4"/>
        <n v="12"/>
        <n v="9"/>
        <n v="11"/>
      </sharedItems>
    </cacheField>
    <cacheField name="branch_name" numFmtId="0">
      <sharedItems containsBlank="1"/>
    </cacheField>
    <cacheField name="solution_group" numFmtId="0">
      <sharedItems containsBlank="1" count="10">
        <s v="Marine"/>
        <s v="Construction, Power &amp; Infrastructure"/>
        <s v="Employee Benefits (EB)"/>
        <s v="Liability"/>
        <s v="Small Medium Enterpries (SME)"/>
        <s v="Global Client Network (GNB Inward)"/>
        <s v="Property / BI"/>
        <s v="Trade Credit &amp;amp; Political Risk"/>
        <s v="Emerging Corporates Group (ECG)"/>
        <m/>
      </sharedItems>
    </cacheField>
    <cacheField name="income_class" numFmtId="0">
      <sharedItems containsBlank="1" count="4">
        <s v="Renewal"/>
        <s v="New"/>
        <s v="Cross Sell"/>
        <m/>
      </sharedItems>
    </cacheField>
    <cacheField name="Amount" numFmtId="0">
      <sharedItems containsString="0" containsBlank="1" containsNumber="1" minValue="0" maxValue="914999"/>
    </cacheField>
    <cacheField name="income_due_date" numFmtId="14">
      <sharedItems containsNonDate="0" containsDate="1" containsString="0" containsBlank="1" minDate="2018-02-20T00:00:00" maxDate="2020-01-21T00:00:00"/>
    </cacheField>
    <cacheField name="revenue_transaction_type" numFmtId="0">
      <sharedItems containsBlank="1" count="3">
        <s v="Brokerage"/>
        <s v="Fees"/>
        <m/>
      </sharedItems>
    </cacheField>
    <cacheField name="renewal_status" numFmtId="0">
      <sharedItems containsBlank="1"/>
    </cacheField>
    <cacheField name="lapse_reason" numFmtId="0">
      <sharedItems containsNonDate="0" containsString="0" containsBlank="1"/>
    </cacheField>
    <cacheField name="last_updated_date" numFmtId="14">
      <sharedItems containsNonDate="0" containsDate="1" containsString="0" containsBlank="1" minDate="2020-01-22T00:00:00" maxDate="2020-01-23T00:00:00"/>
    </cacheField>
    <cacheField name="invoice_number" numFmtId="0">
      <sharedItems containsString="0" containsBlank="1" containsNumber="1" containsInteger="1" minValue="1900001087" maxValue="2000001604"/>
    </cacheField>
    <cacheField name="invoice_date" numFmtId="14">
      <sharedItems containsNonDate="0" containsDate="1" containsString="0" containsBlank="1" minDate="2019-04-11T00:00:00" maxDate="2020-01-17T00:00:00"/>
    </cacheField>
    <cacheField name="Account Executive" numFmtId="0">
      <sharedItems containsBlank="1" count="17">
        <m/>
        <s v="Neel Jain"/>
        <s v="Divya Dhingra"/>
        <s v="Vinay"/>
        <s v="Shloka Shelat"/>
        <s v="Ankita Shah"/>
        <s v="Vidit Shah"/>
        <s v="Abhinav Shivam"/>
        <s v="Animesh Rawat"/>
        <s v="Gautam Murkunde"/>
        <s v="Shobhit Agarwal"/>
        <s v="Mark"/>
        <s v="Ketan Jain"/>
        <s v="Gilbert"/>
        <s v="Shivani Sharma"/>
        <s v="Manish Sharma"/>
        <s v="Raju Kumar"/>
      </sharedItems>
    </cacheField>
    <cacheField name="global_attendees" numFmtId="0">
      <sharedItems containsBlank="1"/>
    </cacheField>
    <cacheField name="meeting_date" numFmtId="14">
      <sharedItems containsNonDate="0" containsDate="1" containsString="0" containsBlank="1" minDate="2019-10-17T00:00:00" maxDate="2020-01-23T00:00:00" count="14">
        <m/>
        <d v="2019-10-17T00:00:00"/>
        <d v="2019-12-24T00:00:00"/>
        <d v="2020-01-03T00:00:00"/>
        <d v="2020-01-08T00:00:00"/>
        <d v="2020-01-09T00:00:00"/>
        <d v="2020-01-02T00:00:00"/>
        <d v="2020-01-06T00:00:00"/>
        <d v="2020-01-07T00:00:00"/>
        <d v="2020-01-13T00:00:00"/>
        <d v="2020-01-10T00:00:00"/>
        <d v="2020-01-20T00:00:00"/>
        <d v="2020-01-21T00:00:00"/>
        <d v="2020-01-22T00:00:00"/>
      </sharedItems>
      <fieldGroup par="35"/>
    </cacheField>
    <cacheField name="opportunity_name" numFmtId="0">
      <sharedItems containsBlank="1" count="50">
        <m/>
        <s v="EL-Group Mediclaim"/>
        <s v="AL GPA"/>
        <s v="BL - Marine STOP"/>
        <s v="II-Marine"/>
        <s v="PIL-Credit Insurance"/>
        <s v="PIL-CGL"/>
        <s v="PIL -Marine"/>
        <s v="SGL- GMC"/>
        <s v="Sandesh - Marine"/>
        <s v="VS.-Marine"/>
        <s v="II -  GMC"/>
        <s v="II - GPA"/>
        <s v="G R -GMC"/>
        <s v="DB- Cyber Liability"/>
        <s v="KB GMC"/>
        <s v="EI- GMC"/>
        <s v="CVP GMC"/>
        <s v="Sin GMC"/>
        <s v="FM-Group Mediclaim"/>
        <s v="Stem GMC"/>
        <s v="DS- Employees GMC"/>
        <s v="BVGMC"/>
        <s v="BV GPA"/>
        <s v="GL-CGL"/>
        <s v="GL-Crime"/>
        <s v="OP-GMC"/>
        <s v="Marine"/>
        <s v="ITNL - IAR (Operational Roads)"/>
        <s v="Maine Open"/>
        <s v="BD PDBI"/>
        <s v="CI-CAR/EAR Policy"/>
        <s v="Sandesh - PDBI"/>
        <s v="VS-PDBI"/>
        <s v="ag - Property Insurance"/>
        <s v="BE-Mega policy"/>
        <s v="BC - PDBI"/>
        <s v="CP-PDBI"/>
        <s v="DB -Mega Policy"/>
        <s v="DB -Terrorism Policy"/>
        <s v="KG-CAR"/>
        <s v="G R -CAR"/>
        <s v="SI-CAR"/>
        <s v="GRTC-CAR"/>
        <s v="PDBI"/>
        <s v="Infra-CAR"/>
        <s v="Fire"/>
        <s v="PI(Operational Road)"/>
        <s v="SFSP"/>
        <s v="VS.-D &amp; O"/>
      </sharedItems>
    </cacheField>
    <cacheField name="opportunity_id" numFmtId="0">
      <sharedItems containsBlank="1"/>
    </cacheField>
    <cacheField name="Account Exe Id2" numFmtId="0">
      <sharedItems containsString="0" containsBlank="1" containsNumber="1" containsInteger="1" minValue="1" maxValue="12" count="6">
        <m/>
        <n v="3"/>
        <n v="1"/>
        <n v="12"/>
        <n v="10"/>
        <n v="6"/>
      </sharedItems>
    </cacheField>
    <cacheField name="premium_amount" numFmtId="0">
      <sharedItems containsString="0" containsBlank="1" containsNumber="1" containsInteger="1" minValue="0" maxValue="90000000"/>
    </cacheField>
    <cacheField name="revenue_amount" numFmtId="0">
      <sharedItems containsString="0" containsBlank="1" containsNumber="1" containsInteger="1" minValue="10000" maxValue="500000"/>
    </cacheField>
    <cacheField name="closing_date" numFmtId="14">
      <sharedItems containsNonDate="0" containsDate="1" containsString="0" containsBlank="1" minDate="2019-09-30T00:00:00" maxDate="2020-09-01T00:00:00"/>
    </cacheField>
    <cacheField name="stage" numFmtId="0">
      <sharedItems containsBlank="1" count="4">
        <m/>
        <s v="Qualify Opportunity"/>
        <s v="Negotiate"/>
        <s v="Propose Solution"/>
      </sharedItems>
    </cacheField>
    <cacheField name="branch" numFmtId="0">
      <sharedItems containsBlank="1" count="2">
        <m/>
        <s v="Ahmedabad"/>
      </sharedItems>
    </cacheField>
    <cacheField name="specialty" numFmtId="0">
      <sharedItems containsBlank="1" count="9">
        <m/>
        <s v="Employee Benefits (EB)"/>
        <s v="Marine"/>
        <s v="Trade Credit &amp;amp; Political Risk"/>
        <s v="Liability"/>
        <s v="Emerging Corporates Group (ECG)"/>
        <s v="Property / BI"/>
        <s v="Construction, Power &amp; Infrastructure"/>
        <s v="Crises Mgmt / Terr / Political Risks / K&amp;amp;R"/>
      </sharedItems>
    </cacheField>
    <cacheField name="product_sub_group" numFmtId="0">
      <sharedItems containsBlank="1" count="9">
        <m/>
        <s v="Mediclaim"/>
        <s v="Marine Hull"/>
        <s v="Miscellaneous"/>
        <s v="Financial Lines"/>
        <s v="Marine Cargo"/>
        <s v="Constructions &amp;amp; Infrastructure"/>
        <s v="Engineering"/>
        <s v="Political Risks"/>
      </sharedItems>
    </cacheField>
    <cacheField name="risk_details" numFmtId="0">
      <sharedItems containsBlank="1"/>
    </cacheField>
    <cacheField name="Months (meeting_date)" numFmtId="0" databaseField="0">
      <fieldGroup base="21">
        <rangePr groupBy="months" startDate="2019-10-17T00:00:00" endDate="2020-01-23T00:00:00"/>
        <groupItems count="14">
          <s v="&lt;17-10-2019"/>
          <s v="Jan"/>
          <s v="Feb"/>
          <s v="Mar"/>
          <s v="Apr"/>
          <s v="May"/>
          <s v="Jun"/>
          <s v="Jul"/>
          <s v="Aug"/>
          <s v="Sep"/>
          <s v="Oct"/>
          <s v="Nov"/>
          <s v="Dec"/>
          <s v="&gt;23-01-2020"/>
        </groupItems>
      </fieldGroup>
    </cacheField>
    <cacheField name="Quarters (meeting_date)" numFmtId="0" databaseField="0">
      <fieldGroup base="21">
        <rangePr groupBy="quarters" startDate="2019-10-17T00:00:00" endDate="2020-01-23T00:00:00"/>
        <groupItems count="6">
          <s v="&lt;17-10-2019"/>
          <s v="Qtr1"/>
          <s v="Qtr2"/>
          <s v="Qtr3"/>
          <s v="Qtr4"/>
          <s v="&gt;23-01-2020"/>
        </groupItems>
      </fieldGroup>
    </cacheField>
    <cacheField name="Years (meeting_date)" numFmtId="0" databaseField="0">
      <fieldGroup base="21">
        <rangePr groupBy="years" startDate="2019-10-17T00:00:00" endDate="2020-01-23T00:00:00"/>
        <groupItems count="4">
          <s v="&lt;17-10-2019"/>
          <s v="2019"/>
          <s v="2020"/>
          <s v="&gt;23-01-2020"/>
        </groupItems>
      </fieldGroup>
    </cacheField>
  </cacheFields>
  <extLst>
    <ext xmlns:x14="http://schemas.microsoft.com/office/spreadsheetml/2009/9/main" uri="{725AE2AE-9491-48be-B2B4-4EB974FC3084}">
      <x14:pivotCacheDefinition pivotCacheId="70666313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PARKLING STARS" refreshedDate="45898.739098726852" createdVersion="8" refreshedVersion="8" minRefreshableVersion="3" recordCount="961" xr:uid="{0309806C-A0B1-49CE-BCE7-F9C52CF746B0}">
  <cacheSource type="worksheet">
    <worksheetSource name="Brokerage" r:id="rId2"/>
  </cacheSource>
  <cacheFields count="17">
    <cacheField name="client_name" numFmtId="0">
      <sharedItems/>
    </cacheField>
    <cacheField name="policy_number" numFmtId="0">
      <sharedItems count="572">
        <s v="2414 2022 4088 1000 000"/>
        <s v="2414202781173700100"/>
        <s v="0655001825 01"/>
        <s v="12139156"/>
        <s v="2200090892"/>
        <s v="237164239 00"/>
        <s v="4101190700000015-00"/>
        <s v="2250010276"/>
        <s v="2414 2022 1261 2200 000"/>
        <s v="2414 2026 2374 7800 000"/>
        <s v="91001900000001"/>
        <s v="2280062933"/>
        <s v="LWC/I2568913/71/05/006144"/>
        <s v="0865074115 01"/>
        <s v="3114202963436199900"/>
        <s v="OG-19-2202-1018-00000055"/>
        <s v="OG-19-2202-3383-00000009"/>
        <s v="640002371"/>
        <s v="0830017443 01"/>
        <s v="180876-0000-00"/>
        <s v="180876-0000-01"/>
        <s v="2250002346"/>
        <s v="3124201420305999900"/>
        <s v="P0119200001/9999/100017"/>
        <s v="0865078325 00"/>
        <s v="'0865078325 01"/>
        <s v="0865080591 00"/>
        <s v="0865081032 00"/>
        <s v="'310304111710000871"/>
        <s v="310304111810000000"/>
        <s v="3103045917100000300"/>
        <s v="'310304591810000063"/>
        <s v="'310300111910000401"/>
        <s v="301002850"/>
        <s v="2412201937457200100"/>
        <s v="0830018899Â 01"/>
        <s v="OG-19-2202-1018-00000059"/>
        <s v="OG-19-2001-3315-00000015"/>
        <s v="4005/134645920/01/000"/>
        <s v="4005/134645920/02/000"/>
        <s v="4016/133979727/01/000"/>
        <s v="4016/133979727/02/000"/>
        <s v="0865078861 00"/>
        <s v="4066/130374729/01/000"/>
        <s v="2002/160040691/00/000"/>
        <s v="2002/160040691/01/000"/>
        <s v="2002/E/107876781/03/000"/>
        <s v="2002/E/1078781/02/000"/>
        <s v="22214272"/>
        <s v="'14220011190100000062"/>
        <s v="2690000138 04"/>
        <s v="2690000337 03"/>
        <s v="30003393"/>
        <s v="OG-18-2202-3315-00000028"/>
        <s v="'23060036180200000022"/>
        <s v="'2999202466609300000"/>
        <s v="'2999203175548500000"/>
        <s v="141400/11/2018/737"/>
        <s v="141400/11/2018/738"/>
        <s v="141400/44/2018/101"/>
        <s v="141400/44/2018/102"/>
        <s v="141400/48/2018/2149"/>
        <s v="141400/48/2018/2150"/>
        <s v="141400/48/2018/2237"/>
        <s v="141400/48/2018/2238"/>
        <s v="141400/48/2018/2239"/>
        <s v="LWC/I2548354/71/02/005537"/>
        <s v="'91000036191500000014"/>
        <s v="'91000036191700000002"/>
        <s v="302102591"/>
        <s v="668111383"/>
        <s v="0668111383 05"/>
        <s v="2250015394"/>
        <s v="2309002394"/>
        <s v="3114202963360099800"/>
        <s v="OG-19-2202-1018-00000053"/>
        <s v="OG-19-2202-3383-00000008"/>
        <s v="PROHLN000242106"/>
        <s v="12030046182479999000"/>
        <s v="12030046192480000000"/>
        <s v="P0319200002/9999/100065"/>
        <s v="2018-F0541357-FRE"/>
        <s v="'11120044170300000009"/>
        <s v="8540162"/>
        <s v="'0000000008540162-01"/>
        <s v="304001926"/>
        <s v="304003761"/>
        <s v="FM00104260000100"/>
        <s v="2412/202063061201000"/>
        <s v="2302003012"/>
        <s v="41045400"/>
        <s v="41045403"/>
        <s v="2018-C1742872-MLO"/>
        <s v="8502066"/>
        <s v="0000000008502066-01"/>
        <s v="2999201540802100200"/>
        <s v="4101190600000030-00"/>
        <s v="OG-19-2202-0425-00000018"/>
        <s v="OG-19-2202-3304-00000007"/>
        <s v="OG-19-2202-3315-00000007-1"/>
        <s v="OG-19-2202-3383-00000003"/>
        <s v="OG-19-2202-4002-00000009"/>
        <s v="OG-19-2202-4004-00000034"/>
        <s v="OG-19-2202-4004-00000038"/>
        <s v="OG-19-2202-4010-00000762"/>
        <s v="OG-19-2202-4010-00000789"/>
        <s v="OG-19-2202-9931-00001420"/>
        <s v="OG-20-2202-0425-00000017"/>
        <s v="OG-20-2202-3304-00000009"/>
        <s v="OG-20-2202-3315-00000012"/>
        <s v="OG-20-2202-3383-00000002"/>
        <s v="OG-20-2202-4002-00000010"/>
        <s v="OG-20-2202-4004-00000062"/>
        <s v="OG-20-2202-4004-00000064"/>
        <s v="OG-20-2202-4010-00000869"/>
        <s v="OG-20-2202-4010-00000905"/>
        <s v="OG-20-2202-9931-00032558"/>
        <s v="301004728"/>
        <s v="0301004728-2019"/>
        <s v="600010004"/>
        <s v="0600010004 01"/>
        <s v="0600010004 02"/>
        <s v="640002231"/>
        <s v="0640002231 03"/>
        <s v="0640002231 04"/>
        <s v="22515779"/>
        <s v="22531899"/>
        <s v="32099602"/>
        <s v="32099602-01"/>
        <s v="321340020118100010000000"/>
        <s v="321340020119100000000000"/>
        <s v="APG/I2064820/71/11/006144"/>
        <s v="APG/I2064820/71/11/006343"/>
        <s v="GHS/Q0226519/71"/>
        <s v="GHS/Q1166066/71"/>
        <s v="LWC/I2328626/71/04/005537"/>
        <s v="OG-18-2202-1018-00000028"/>
        <s v="OG-19-2202-1018-00000047"/>
        <s v="4016 X 166425941 00 000"/>
        <s v="2309004639"/>
        <s v="43170512"/>
        <s v="43193940"/>
        <s v="141400/48/2020/1134"/>
        <s v="23060011180300001000"/>
        <s v="310300111910000000"/>
        <s v="310300491910000000"/>
        <s v="99000011190300000000"/>
        <s v="99000046190100005000"/>
        <s v="99000046190799995000"/>
        <s v="99000044180300005000"/>
        <s v="99000044190299996000"/>
        <s v="'0000000008539844-01"/>
        <s v="00000000085/39886"/>
        <s v="8539944"/>
        <s v="'0000000008539944-01"/>
        <s v="00000000086/43966"/>
        <s v="41045915"/>
        <s v="2690000174"/>
        <s v="300004329"/>
        <s v="'0300004329"/>
        <s v="304001755"/>
        <s v="'0304001755"/>
        <s v="640001622"/>
        <s v="655001664"/>
        <s v="'0655001664 03"/>
        <s v="0830016972 02"/>
        <s v="0830016972Â 01"/>
        <s v="'12063453"/>
        <s v="12140036170800001000"/>
        <s v="121400/36/17/17/00000005 "/>
        <s v="121400/36/17/30/00000014"/>
        <s v="'12140036180800000001"/>
        <s v="'12140036181700000021"/>
        <s v="'12140036183000000021"/>
        <s v="2302003268"/>
        <s v="'2302003268"/>
        <s v="2309003346"/>
        <s v="2690000349"/>
        <s v="55020309"/>
        <s v="2018-F0513845-BSS"/>
        <s v="2018-L0116737-FWC"/>
        <s v="2018-L0116800-PBL"/>
        <s v="2019-F0673106-BSS"/>
        <s v="2019-L0138835-FWC"/>
        <s v="2019-L0139704-PBL"/>
        <s v="505613"/>
        <s v="FGP-24-18-7001720-01-000"/>
        <s v="FGP-24-19-7003140-02-000"/>
        <s v="H0088766"/>
        <s v="141100/48/2019/48"/>
        <s v="GTL 3193894"/>
        <s v="GTL3304779"/>
        <s v="0260009050 00"/>
        <s v="2309002897"/>
        <s v="206312000000"/>
        <s v="206314000000"/>
        <s v="8907502"/>
        <s v="0000000008907502-01"/>
        <s v="020P000098802000"/>
        <s v="020P000098803000"/>
        <s v="2280082714"/>
        <s v="000000000086/4398"/>
        <s v="8539756"/>
        <s v="'0000000008539756-01"/>
        <s v="'0000000008539844"/>
        <s v="'0000000008643898-01"/>
        <s v="160261921120422020"/>
        <s v="'99000044180400000024"/>
        <s v="LW/00009151000100"/>
        <s v="2412/202312723700000"/>
        <s v="OG-18-2202-4091-00000964"/>
        <s v="1213001118P112967501"/>
        <s v="'310304111810000477"/>
        <s v="43177302"/>
        <s v="43179225"/>
        <s v="OG-19-2202-4091-00000967"/>
        <s v="YB00020403000100"/>
        <s v="31030411/17/10000760"/>
        <s v="31030/459/1710000154"/>
        <s v="2999/202296981100000"/>
        <s v="2999202758217600000&quot;"/>
        <s v="2999202873274200100"/>
        <s v="2999202873309799900"/>
        <s v="141100/48/2019/4225"/>
        <s v="2002/132282540/02/000"/>
        <s v="2018-B0100354-FBG"/>
        <s v="2018-F0512344-FRE"/>
        <s v="2018-F0512462-FLO"/>
        <s v="2018-L0116963-CGL"/>
        <s v="2412/2024 4046 0100 000"/>
        <s v="91000036171699995000"/>
        <s v="91000036181700002000"/>
        <s v="304001140"/>
        <s v="635003567"/>
        <s v="0635003567 00"/>
        <s v="4010/118287210/02/000"/>
        <s v="4010/118433486/02/000"/>
        <s v="4010/118434222/02/000"/>
        <s v="15552994"/>
        <s v="99000011190100001000"/>
        <s v="14055133"/>
        <s v="2000010048"/>
        <s v="304001925"/>
        <s v="304003763"/>
        <s v="0640002526 02"/>
        <s v="1003/126704810/01/000"/>
        <s v="1003/126704810/02/000"/>
        <s v="11988092"/>
        <s v="2304001082"/>
        <s v="2304001082-01"/>
        <s v="2414202092813599700"/>
        <s v="2600010787 00"/>
        <s v="2600011209 00"/>
        <s v="2600015265 00"/>
        <s v="2640011190"/>
        <s v="3114201124820199900"/>
        <s v="32119154"/>
        <s v="4001/117090005/02/0000"/>
        <s v="4001/117090005/03/000"/>
        <s v="4001/122835467/01"/>
        <s v="4001/122835467/02/000"/>
        <s v="4001/122835467/02/000 "/>
        <s v="4001/122835467/03/000"/>
        <s v="4092/147 968178/00/000"/>
        <s v="4092/151965577/01/000"/>
        <s v="44180169"/>
        <s v="ER00004563000100"/>
        <s v="OG-19-2202-1002-00001901"/>
        <s v="OG-19-2202-1002-00001981"/>
        <s v="OG-19-2202-4001-00011127"/>
        <s v="OG-19-2202-4010-00002245"/>
        <s v="'001P000202300000"/>
        <s v="'001P000203500000"/>
        <s v="111200/11/2018/98"/>
        <s v="11120036171000001000"/>
        <s v="'11120036181000000012"/>
        <s v="'11120044170300000014"/>
        <s v="11120044180300000010'"/>
        <s v="'11120044180300000011"/>
        <s v="'11120044180300000012"/>
        <s v="'11120044180800000002"/>
        <s v="'11120044180800000003"/>
        <s v="'11120044180800000006"/>
        <s v="1210001119P104351661'"/>
        <s v="'1213004416P107726014 / 1213002116P107726019"/>
        <s v="1213004416P107726014  (SCE)/1213002116P107726019 ( MCE)"/>
        <s v="1213004416P107744588 "/>
        <s v="'1213004416P109402880"/>
        <s v="141400/11/2018/484"/>
        <s v="141400/48/2018/1288"/>
        <s v="'23070044150300000010"/>
        <s v="'23070044170300000002"/>
        <s v="2309003004"/>
        <s v="'42040044180300000018"/>
        <s v="'42040044180300000033"/>
        <s v="'42040044180300000057"/>
        <s v="5004/118413988/00/000"/>
        <s v="'500413128488100000"/>
        <s v="2002/174911788/00/000"/>
        <s v="'2414201438068601000"/>
        <s v="'310300111910000371"/>
        <s v="OG-19-2202-1018-00000036"/>
        <s v="YB00015574000102"/>
        <s v="YB00015574000103"/>
        <s v="'2411 2020 9689 0500 000"/>
        <s v="'310300111910000396"/>
        <s v="'310300111910000397"/>
        <s v="MD004600"/>
        <s v="0865085175 00 00"/>
        <s v="2002/160095852/00/000"/>
        <s v="22214171"/>
        <s v="22341873"/>
        <s v="'21300031180100007178"/>
        <s v="'310300111910000395"/>
        <s v="301004265"/>
        <s v="0301004265-1"/>
        <s v="195269000000"/>
        <s v="2412202071829000200"/>
        <s v="2412 2020 7182 9001 000"/>
        <s v="4101191100000008-00"/>
        <s v="41050127"/>
        <s v="43169018"/>
        <s v="54522170"/>
        <s v="OG-19-2202-4001-00004011"/>
        <s v="OG-19-2202-4004-00000044"/>
        <s v="OG-19-2202-4010-00000816"/>
        <s v="OG-19-2202-4010-00000817"/>
        <s v="OG-19-2202-4011-00000127"/>
        <s v="OG-20-2202-4004-00000043"/>
        <s v="OG-20-2202-4004-00000066"/>
        <s v="OG-20-2202-4010-00000924"/>
        <s v="0000000007919559-01"/>
        <s v="2001/161822918/00/000"/>
        <s v="2280014070"/>
        <s v="43187020"/>
        <s v="0865082088 00"/>
        <s v="11120044180800000000"/>
        <s v="11120044185899999000"/>
        <s v="4016/138636598/01/000"/>
        <s v="2005/162167315/00/000"/>
        <s v="3114202748210200100"/>
        <s v="0000000007404252-01"/>
        <s v="0000000007404252-02"/>
        <s v="10619837"/>
        <s v="0000000010619837-01"/>
        <s v="1011/142530053/00/000"/>
        <s v="1011/142530053/01/000"/>
        <s v="160261822110088000"/>
        <s v="3114202997427299800"/>
        <s v="3124201589100599800"/>
        <s v="4006/131284920/01/000"/>
        <s v="4006/131284920/02/000"/>
        <s v="4010/121054809/01/000"/>
        <s v="4010/121054809/02/000"/>
        <s v="4016 138636598 02 000"/>
        <s v="5002/131802941/01/000"/>
        <s v="5002/131802941/02/000"/>
        <s v="LQX/I2508418/71/02/005537"/>
        <s v="NBI Domestic"/>
        <s v="NBI Export"/>
        <s v="OG-18-2202-1018-00000036"/>
        <s v="OG-18-2202-3383-00000005"/>
        <s v="OG-19-2202-1018-00000052"/>
        <s v="OG-19-2202-3383-00000007"/>
        <s v="PROHLN000005719"/>
        <s v="2250007836"/>
        <s v="2250007837"/>
        <s v="'2309003157"/>
        <s v="'2309003157 01"/>
        <s v="99000011160099996000"/>
        <s v="99000011170100003000"/>
        <s v="99000011170100000135'"/>
        <s v="'99000011170100000412"/>
        <s v="99000011180100000149'"/>
        <s v="99000011180099994000"/>
        <s v="'99000011180100000284"/>
        <s v="'99000011180100000303"/>
        <s v="'99000011180100000339"/>
        <s v="'99000011180100000340"/>
        <s v="'99000011180100000352"/>
        <s v="'99000011180100000353"/>
        <s v="'99000011190100000078"/>
        <s v="'99000011190100000079"/>
        <s v="'99000011190100000121"/>
        <s v="99000021170200003000"/>
        <s v="'99000021180100000013"/>
        <s v="'99000036181500000054"/>
        <s v="99000044160300007000"/>
        <s v="99000044165800002000"/>
        <s v="99000044170400006000"/>
        <s v="99000044170699997000"/>
        <s v="'99000044175800000017"/>
        <s v="'99000044180300000004"/>
        <s v="'99000044180300000009"/>
        <s v="'99000044180300000022"/>
        <s v="'99000044180300000047"/>
        <s v="'99000044180300000048"/>
        <s v="'99000044180300000053"/>
        <s v="'99000044180300000056"/>
        <s v="'99000044180300000064"/>
        <s v="'99000044180300000074"/>
        <s v="'99000044180300000076"/>
        <s v="'99000044180300000078"/>
        <s v="99000044180700004000"/>
        <s v="'99000044180700000011"/>
        <s v="'99000044180700000012"/>
        <s v="99000044185099993000"/>
        <s v="99000044185799999000"/>
        <s v="'99000044185800000014"/>
        <s v="'99000044185900000001"/>
        <s v="'99000044190300000004"/>
        <s v="'99000044190300000023"/>
        <s v="'99000044190300000046"/>
        <s v="'99000044190700000001"/>
        <s v="''99000044190700000001"/>
        <s v="'99000044190700000002"/>
        <s v="'99000044196500000008"/>
        <s v="99000046172479996000"/>
        <s v="'99000046182400000003"/>
        <s v="99000046182400000000"/>
        <s v="'99000046182400000039"/>
        <s v="'99000046182400000053"/>
        <s v="'99000046182400000054"/>
        <s v="'99000046182400000055"/>
        <s v="'99000046192400000001"/>
        <s v="'99000046192400000020"/>
        <s v="'99000046192400000039"/>
        <s v="'99000046192400000057"/>
        <s v="'99000046192400000058"/>
        <s v="'99000046192400000059"/>
        <s v="'99000046192400000060"/>
        <s v="&quot;_x0009_99000048170300000007&quot;"/>
        <s v="160231828430000000"/>
        <s v="HG00003377000100"/>
        <s v="41047870"/>
        <s v="0865000748 01"/>
        <s v="0865000748 02"/>
        <s v="22364363"/>
        <s v="22387698"/>
        <s v="99000036180199997000"/>
        <s v="32117648"/>
        <s v="43152633"/>
        <s v="43167538"/>
        <s v="43167694"/>
        <s v="43191701"/>
        <s v="99000044170299998000"/>
        <s v="990000441903000060"/>
        <s v="LWC/I2688106/71/10/006144"/>
        <s v="M6867997"/>
        <s v="M7016785"/>
        <s v="'310304491710000022"/>
        <s v="OG-20-2202-3305-00000123"/>
        <s v="2280038722"/>
        <s v="43170791"/>
        <s v="43182398"/>
        <s v="4318239800002"/>
        <s v="43189992"/>
        <s v="43190133"/>
        <s v="OG-19-2201-0420-00000001"/>
        <s v="OG-19-2201-0425-00000001"/>
        <s v="OG-19-2201-4001-00000061"/>
        <s v="OG-19-2201-4001-00000063"/>
        <s v="OG-19-2201-4005-00000001"/>
        <s v="OG-20-2201-9931-00000664"/>
        <s v="OG-19-2201-4011-00000002"/>
        <s v="0000000007817932-01"/>
        <s v="0000000007817932-02"/>
        <s v="3124202067574900200"/>
        <s v="0526002817P114267969/0"/>
        <s v="0526004217P114582552/0"/>
        <s v="5051621"/>
        <s v="43145480"/>
        <s v="43168449"/>
        <s v="43191791"/>
        <s v="22210011170099999000"/>
        <s v="22210021170199998000"/>
        <s v="22210046170099999000"/>
        <s v="3114201957675299800"/>
        <s v="3114203125843899900"/>
        <s v="MCO/I3350570/71/01/006343"/>
        <s v="PBI/I3352741/71/01/006343"/>
        <s v="PFS/I3353707/71/01/006343"/>
        <s v="33393"/>
        <s v="3393"/>
        <s v="2301001342"/>
        <s v="2302002435"/>
        <s v="4006/79486382/05/000"/>
        <s v="4010/141353816/01/000"/>
        <s v="4066/140501600/01/000"/>
        <s v="4086/160357783/00/000"/>
        <s v="54407334"/>
        <s v="H0048996"/>
        <s v="H0056637"/>
        <s v="020W000078800000"/>
        <s v="0830017645 02"/>
        <s v="2640009793"/>
        <s v="OG-19-2202-0425-00000002"/>
        <s v="OG-19-2202-0425-00000003"/>
        <s v="OG-19-2202-1018-00000009"/>
        <s v="OG-19-2202-4001-00007099"/>
        <s v="OG-19-2202-4002-00000005"/>
        <s v="OG-19-2202-4003-00000012"/>
        <s v="OG-19-2202-4004-00000010"/>
        <s v="OG-19-2202-4010-00000104"/>
        <s v="OG-19-2202-4010-00000159"/>
        <s v="OG-19-2202-4011-00000003"/>
        <s v="OG-19-2202-9931-00000002"/>
        <s v="OG-19-2202-9931-00000163"/>
        <s v="21300042180100002000"/>
        <s v="2200130820 02"/>
        <s v="4016/120415654/02/00"/>
        <s v="4016/120415654/03/00"/>
        <s v="AG00059046000100"/>
        <s v="OG-19-2202-3315-00000009"/>
        <s v="OG-20-2202-3315-00000009"/>
        <s v="P0019200001/9999/100301"/>
        <s v="P0218200001/9999/100262"/>
        <s v="0830018887 01"/>
        <s v="0830018888 01"/>
        <s v="OG-19-2202-1018-00000060"/>
        <s v="12031703"/>
        <s v="2414202562903399900"/>
        <s v="41040284"/>
        <s v="41046110"/>
        <s v="HCL"/>
        <s v="21300036181700002000"/>
        <s v="21300036191700001000"/>
        <s v="'2200060187 06"/>
        <s v="43168456"/>
        <s v="43191787"/>
        <s v="431172859"/>
        <s v="43196279"/>
        <s v="OG-19-2202-1005-00000153"/>
        <s v="OG-19-2202-4097-00000073"/>
        <s v="OG-19-2202-4097-00000077"/>
        <s v="OG-19-2202-4097-00000079"/>
        <s v="OG-20-2202-1005-00000171-2019"/>
        <s v="OG-20-2202-4097-00000170"/>
        <s v="OG-20-2202-4097-00000171"/>
        <s v="OG-20-2202-4097-00000201"/>
        <s v="'2411202761687800000"/>
        <s v="304003070"/>
        <s v="ST20002720000101"/>
        <s v="'ST20003045000100"/>
        <s v="ST20003618000100"/>
        <s v="ST20003619000100"/>
        <s v="STS1086243000100"/>
        <s v="13100050180100000000"/>
        <s v="41048751"/>
        <s v="41048762"/>
        <s v="41048763"/>
        <s v="100200080123/01/00"/>
        <s v="10020080123/0000"/>
        <s v="LPGPA0000000200"/>
        <s v="LPGPA0000000200/01"/>
        <s v="4025/136366502/02/000"/>
        <s v="41045707"/>
        <s v="3000001017"/>
        <s v="3114202965248500200"/>
        <s v="OG-19-2202-1018-00000054"/>
        <s v="OG-19-2202-3383-00000010"/>
        <s v="OG-19-2201-4001-00001050"/>
        <s v="OG-19-2201-4001-00000973"/>
        <s v="505373"/>
        <s v="505373-01"/>
        <s v="51995029"/>
        <s v="52916488"/>
        <s v="52971603"/>
        <s v="54445288"/>
        <s v="H0067187"/>
        <s v="4016 X 185834560 00 000"/>
        <s v="3124201273691700200"/>
      </sharedItems>
    </cacheField>
    <cacheField name="policy_status" numFmtId="0">
      <sharedItems count="2">
        <s v="Active"/>
        <s v="Inactive"/>
      </sharedItems>
    </cacheField>
    <cacheField name="policy_start_date" numFmtId="14">
      <sharedItems containsSemiMixedTypes="0" containsNonDate="0" containsDate="1" containsString="0" minDate="2015-10-13T00:00:00" maxDate="2020-05-19T00:00:00"/>
    </cacheField>
    <cacheField name="policy_end_date" numFmtId="14">
      <sharedItems containsSemiMixedTypes="0" containsNonDate="0" containsDate="1" containsString="0" minDate="2017-12-30T00:00:00" maxDate="2027-05-29T00:00:00"/>
    </cacheField>
    <cacheField name="product_group" numFmtId="0">
      <sharedItems/>
    </cacheField>
    <cacheField name="Account Id" numFmtId="0">
      <sharedItems containsSemiMixedTypes="0" containsString="0" containsNumber="1" containsInteger="1" minValue="1" maxValue="13"/>
    </cacheField>
    <cacheField name="Account Exe ID" numFmtId="0">
      <sharedItems/>
    </cacheField>
    <cacheField name="branch_name" numFmtId="0">
      <sharedItems/>
    </cacheField>
    <cacheField name="solution_group" numFmtId="0">
      <sharedItems count="12">
        <s v="Marine"/>
        <s v="Construction, Power &amp; Infrastructure"/>
        <s v="Liability"/>
        <s v="Employee Benefits (EB)"/>
        <s v="Property / BI"/>
        <s v="Small Medium Enterpries (SME)"/>
        <s v="Global Client Network (GNB Inward)"/>
        <s v="Trade Credit &amp;amp; Political Risk"/>
        <s v="Energy"/>
        <s v="Motor"/>
        <s v="Affinity"/>
        <s v="Emerging Corporates Group (ECG)"/>
      </sharedItems>
    </cacheField>
    <cacheField name="income_class" numFmtId="0">
      <sharedItems containsBlank="1" count="4">
        <s v="Renewal"/>
        <s v="New"/>
        <s v="Cross Sell"/>
        <m/>
      </sharedItems>
    </cacheField>
    <cacheField name="Amount" numFmtId="0">
      <sharedItems containsString="0" containsBlank="1" containsNumber="1" minValue="-98802.02" maxValue="1474120.36"/>
    </cacheField>
    <cacheField name="income_due_date" numFmtId="14">
      <sharedItems containsNonDate="0" containsDate="1" containsString="0" containsBlank="1" minDate="2015-10-13T00:00:00" maxDate="2108-04-01T00:00:00"/>
    </cacheField>
    <cacheField name="revenue_transaction_type" numFmtId="0">
      <sharedItems/>
    </cacheField>
    <cacheField name="renewal_status" numFmtId="0">
      <sharedItems/>
    </cacheField>
    <cacheField name="lapse_reason" numFmtId="0">
      <sharedItems containsBlank="1"/>
    </cacheField>
    <cacheField name="last_updated_date" numFmtId="14">
      <sharedItems containsSemiMixedTypes="0" containsNonDate="0" containsDate="1" containsString="0" minDate="2020-01-22T00:00:00" maxDate="2020-01-23T00:00:00"/>
    </cacheField>
  </cacheFields>
  <extLst>
    <ext xmlns:x14="http://schemas.microsoft.com/office/spreadsheetml/2009/9/main" uri="{725AE2AE-9491-48be-B2B4-4EB974FC3084}">
      <x14:pivotCacheDefinition pivotCacheId="975363390"/>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PARKLING STARS" refreshedDate="45898.739098495367" createdVersion="8" refreshedVersion="8" minRefreshableVersion="3" recordCount="18" xr:uid="{97A12FAD-3BEB-41CC-92A7-1DE1B84AED3D}">
  <cacheSource type="worksheet">
    <worksheetSource name="Individual_Budget" r:id="rId2"/>
  </cacheSource>
  <cacheFields count="7">
    <cacheField name="Branch" numFmtId="0">
      <sharedItems containsBlank="1"/>
    </cacheField>
    <cacheField name="Sales person ID" numFmtId="0">
      <sharedItems containsString="0" containsBlank="1" containsNumber="1" containsInteger="1" minValue="1" maxValue="13"/>
    </cacheField>
    <cacheField name="Employee Name" numFmtId="0">
      <sharedItems containsBlank="1"/>
    </cacheField>
    <cacheField name="New Role2" numFmtId="0">
      <sharedItems containsBlank="1"/>
    </cacheField>
    <cacheField name="New Budget" numFmtId="0">
      <sharedItems containsString="0" containsBlank="1" containsNumber="1" containsInteger="1" minValue="12888" maxValue="12788092" count="11">
        <n v="12788092"/>
        <n v="129902"/>
        <n v="1278023"/>
        <n v="1000000"/>
        <n v="1250000"/>
        <n v="1345000"/>
        <n v="500000"/>
        <n v="1350000"/>
        <n v="19888"/>
        <n v="12888"/>
        <m/>
      </sharedItems>
    </cacheField>
    <cacheField name="Cross sell bugdet" numFmtId="0">
      <sharedItems containsString="0" containsBlank="1" containsNumber="1" containsInteger="1" minValue="128777" maxValue="12365300" count="11">
        <n v="250000"/>
        <n v="129000"/>
        <n v="12365300"/>
        <n v="500000"/>
        <n v="3500000"/>
        <n v="170034"/>
        <n v="1250000"/>
        <n v="750000"/>
        <n v="128777"/>
        <n v="1040000"/>
        <m/>
      </sharedItems>
    </cacheField>
    <cacheField name="Renewal Budget" numFmtId="0">
      <sharedItems containsString="0" containsBlank="1" containsNumber="1" containsInteger="1" minValue="12900" maxValue="5010000" count="10">
        <n v="1500000"/>
        <n v="1289000"/>
        <n v="12900"/>
        <n v="1010000"/>
        <n v="750000"/>
        <n v="1298673"/>
        <n v="500000"/>
        <n v="198882"/>
        <n v="5010000"/>
        <m/>
      </sharedItems>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PARKLING STARS" refreshedDate="45898.739098379629" createdVersion="8" refreshedVersion="8" minRefreshableVersion="3" recordCount="9" xr:uid="{A271B5FC-DDB3-41F1-AAD3-256A5DD7A925}">
  <cacheSource type="worksheet">
    <worksheetSource name="Fees" r:id="rId2"/>
  </cacheSource>
  <cacheFields count="9">
    <cacheField name="client_name" numFmtId="0">
      <sharedItems/>
    </cacheField>
    <cacheField name="branch_name" numFmtId="0">
      <sharedItems/>
    </cacheField>
    <cacheField name="solution_group" numFmtId="0">
      <sharedItems/>
    </cacheField>
    <cacheField name="Salesperson ID" numFmtId="0">
      <sharedItems containsSemiMixedTypes="0" containsString="0" containsNumber="1" containsInteger="1" minValue="1" maxValue="3"/>
    </cacheField>
    <cacheField name="Account Executive" numFmtId="0">
      <sharedItems/>
    </cacheField>
    <cacheField name="income_class" numFmtId="0">
      <sharedItems count="3">
        <s v="Cross Sell"/>
        <s v="Renewal"/>
        <s v="New"/>
      </sharedItems>
    </cacheField>
    <cacheField name="Amount" numFmtId="0">
      <sharedItems containsSemiMixedTypes="0" containsString="0" containsNumber="1" containsInteger="1" minValue="2200" maxValue="139240"/>
    </cacheField>
    <cacheField name="income_due_date" numFmtId="14">
      <sharedItems containsSemiMixedTypes="0" containsNonDate="0" containsDate="1" containsString="0" minDate="2019-01-21T00:00:00" maxDate="2019-12-21T00:00:00"/>
    </cacheField>
    <cacheField name="revenue_transaction_type" numFmtId="0">
      <sharedItems/>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PARKLING STARS" refreshedDate="45898.73909826389" createdVersion="8" refreshedVersion="8" minRefreshableVersion="3" recordCount="204" xr:uid="{10111807-E322-4537-872E-C6C8C415841F}">
  <cacheSource type="worksheet">
    <worksheetSource name="Invoice" r:id="rId2"/>
  </cacheSource>
  <cacheFields count="12">
    <cacheField name="invoice_number" numFmtId="0">
      <sharedItems containsSemiMixedTypes="0" containsString="0" containsNumber="1" containsInteger="1" minValue="1900001087" maxValue="2000001604"/>
    </cacheField>
    <cacheField name="invoice_date" numFmtId="0">
      <sharedItems containsSemiMixedTypes="0" containsString="0" containsNumber="1" containsInteger="1" minValue="43566" maxValue="43846"/>
    </cacheField>
    <cacheField name="revenue_transaction_type" numFmtId="0">
      <sharedItems/>
    </cacheField>
    <cacheField name="branch_name" numFmtId="0">
      <sharedItems/>
    </cacheField>
    <cacheField name="solution_group" numFmtId="0">
      <sharedItems/>
    </cacheField>
    <cacheField name="Account Exe ID" numFmtId="0">
      <sharedItems containsString="0" containsBlank="1" containsNumber="1" containsInteger="1" minValue="1" maxValue="13"/>
    </cacheField>
    <cacheField name="Account Executive" numFmtId="0">
      <sharedItems count="11">
        <s v="Neel Jain"/>
        <s v="Divya Dhingra"/>
        <s v="Vinay"/>
        <s v="Shloka Shelat"/>
        <s v="Ankita Shah"/>
        <s v="Vidit Shah"/>
        <s v="Abhinav Shivam"/>
        <s v="Animesh Rawat"/>
        <s v="Gautam Murkunde"/>
        <s v="Shobhit Agarwal"/>
        <s v="Mark"/>
      </sharedItems>
    </cacheField>
    <cacheField name="income_class" numFmtId="0">
      <sharedItems containsBlank="1" count="4">
        <s v="New"/>
        <s v="Renewal"/>
        <s v="Cross Sell"/>
        <m/>
      </sharedItems>
    </cacheField>
    <cacheField name="client_name" numFmtId="0">
      <sharedItems/>
    </cacheField>
    <cacheField name="policy_number" numFmtId="0">
      <sharedItems containsBlank="1"/>
    </cacheField>
    <cacheField name="Amount" numFmtId="0">
      <sharedItems containsSemiMixedTypes="0" containsString="0" containsNumber="1" containsInteger="1" minValue="64" maxValue="914999"/>
    </cacheField>
    <cacheField name="income_due_date" numFmtId="0">
      <sharedItems containsSemiMixedTypes="0" containsString="0" containsNumber="1" containsInteger="1" minValue="43466" maxValue="43819"/>
    </cacheField>
  </cacheFields>
  <extLst>
    <ext xmlns:x14="http://schemas.microsoft.com/office/spreadsheetml/2009/9/main" uri="{725AE2AE-9491-48be-B2B4-4EB974FC3084}">
      <x14:pivotCacheDefinition pivotCacheId="95388014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21">
  <r>
    <s v="A"/>
    <x v="0"/>
    <x v="0"/>
    <d v="2018-04-19T00:00:00"/>
    <d v="2019-04-18T00:00:00"/>
    <x v="0"/>
    <n v="1"/>
    <x v="0"/>
    <s v="Ahmedabad"/>
    <x v="0"/>
    <x v="0"/>
    <n v="32186.720000000001"/>
    <d v="2018-04-19T00:00:00"/>
    <x v="0"/>
    <s v="Inception"/>
    <m/>
    <d v="2020-01-22T00:00:00"/>
    <m/>
    <m/>
    <x v="0"/>
    <m/>
    <x v="0"/>
    <x v="0"/>
    <m/>
    <x v="0"/>
    <m/>
    <m/>
    <m/>
    <x v="0"/>
    <x v="0"/>
    <x v="0"/>
    <x v="0"/>
    <m/>
  </r>
  <r>
    <s v="Amit"/>
    <x v="1"/>
    <x v="0"/>
    <d v="2019-05-01T00:00:00"/>
    <d v="2020-04-30T00:00:00"/>
    <x v="0"/>
    <n v="2"/>
    <x v="1"/>
    <s v="Ahmedabad"/>
    <x v="0"/>
    <x v="1"/>
    <n v="23590.71"/>
    <d v="2019-05-01T00:00:00"/>
    <x v="0"/>
    <s v="Inception"/>
    <m/>
    <d v="2020-01-22T00:00:00"/>
    <m/>
    <m/>
    <x v="0"/>
    <m/>
    <x v="0"/>
    <x v="0"/>
    <m/>
    <x v="0"/>
    <m/>
    <m/>
    <m/>
    <x v="0"/>
    <x v="0"/>
    <x v="0"/>
    <x v="0"/>
    <m/>
  </r>
  <r>
    <s v="B"/>
    <x v="2"/>
    <x v="1"/>
    <d v="2018-09-13T00:00:00"/>
    <d v="2019-09-12T00:00:00"/>
    <x v="1"/>
    <n v="1"/>
    <x v="0"/>
    <s v="Ahmedabad"/>
    <x v="1"/>
    <x v="0"/>
    <n v="4611.96"/>
    <d v="2018-09-13T00:00:00"/>
    <x v="0"/>
    <s v="Inception"/>
    <m/>
    <d v="2020-01-22T00:00:00"/>
    <m/>
    <m/>
    <x v="0"/>
    <m/>
    <x v="0"/>
    <x v="0"/>
    <m/>
    <x v="0"/>
    <m/>
    <m/>
    <m/>
    <x v="0"/>
    <x v="0"/>
    <x v="0"/>
    <x v="0"/>
    <m/>
  </r>
  <r>
    <s v="C"/>
    <x v="3"/>
    <x v="0"/>
    <d v="2019-02-01T00:00:00"/>
    <d v="2020-01-31T00:00:00"/>
    <x v="2"/>
    <n v="10"/>
    <x v="2"/>
    <s v="Ahmedabad"/>
    <x v="2"/>
    <x v="0"/>
    <n v="1825.43"/>
    <d v="2019-02-01T00:00:00"/>
    <x v="0"/>
    <s v="Inception"/>
    <m/>
    <d v="2020-01-22T00:00:00"/>
    <m/>
    <m/>
    <x v="0"/>
    <m/>
    <x v="0"/>
    <x v="0"/>
    <m/>
    <x v="0"/>
    <m/>
    <m/>
    <m/>
    <x v="0"/>
    <x v="0"/>
    <x v="0"/>
    <x v="0"/>
    <m/>
  </r>
  <r>
    <s v="D"/>
    <x v="4"/>
    <x v="0"/>
    <d v="2019-06-25T00:00:00"/>
    <d v="2020-06-24T00:00:00"/>
    <x v="2"/>
    <n v="2"/>
    <x v="1"/>
    <s v="Ahmedabad"/>
    <x v="2"/>
    <x v="1"/>
    <n v="79833.600000000006"/>
    <d v="2019-06-25T00:00:00"/>
    <x v="0"/>
    <s v="Endorsement"/>
    <m/>
    <d v="2020-01-22T00:00:00"/>
    <m/>
    <m/>
    <x v="0"/>
    <m/>
    <x v="0"/>
    <x v="0"/>
    <m/>
    <x v="0"/>
    <m/>
    <m/>
    <m/>
    <x v="0"/>
    <x v="0"/>
    <x v="0"/>
    <x v="0"/>
    <m/>
  </r>
  <r>
    <s v="E"/>
    <x v="5"/>
    <x v="0"/>
    <d v="2018-04-25T00:00:00"/>
    <d v="2019-04-24T00:00:00"/>
    <x v="3"/>
    <n v="1"/>
    <x v="0"/>
    <s v="Ahmedabad"/>
    <x v="2"/>
    <x v="0"/>
    <n v="847.38"/>
    <d v="2018-04-25T00:00:00"/>
    <x v="0"/>
    <s v="Inception"/>
    <m/>
    <d v="2020-01-22T00:00:00"/>
    <m/>
    <m/>
    <x v="0"/>
    <m/>
    <x v="0"/>
    <x v="0"/>
    <m/>
    <x v="0"/>
    <m/>
    <m/>
    <m/>
    <x v="0"/>
    <x v="0"/>
    <x v="0"/>
    <x v="0"/>
    <m/>
  </r>
  <r>
    <s v="F"/>
    <x v="6"/>
    <x v="0"/>
    <d v="2019-05-20T00:00:00"/>
    <d v="2020-05-19T00:00:00"/>
    <x v="3"/>
    <n v="1"/>
    <x v="0"/>
    <s v="Ahmedabad"/>
    <x v="3"/>
    <x v="0"/>
    <n v="8117"/>
    <d v="2020-01-20T00:00:00"/>
    <x v="0"/>
    <s v="Renewal"/>
    <m/>
    <d v="2020-01-22T00:00:00"/>
    <m/>
    <m/>
    <x v="0"/>
    <m/>
    <x v="0"/>
    <x v="0"/>
    <m/>
    <x v="0"/>
    <m/>
    <m/>
    <m/>
    <x v="0"/>
    <x v="0"/>
    <x v="0"/>
    <x v="0"/>
    <m/>
  </r>
  <r>
    <s v="G"/>
    <x v="7"/>
    <x v="0"/>
    <d v="2018-06-12T00:00:00"/>
    <d v="2019-06-11T00:00:00"/>
    <x v="0"/>
    <n v="9"/>
    <x v="3"/>
    <s v="Ahmedabad"/>
    <x v="4"/>
    <x v="0"/>
    <n v="1980"/>
    <d v="2018-06-12T00:00:00"/>
    <x v="0"/>
    <s v="Endorsement"/>
    <m/>
    <d v="2020-01-22T00:00:00"/>
    <m/>
    <m/>
    <x v="0"/>
    <m/>
    <x v="0"/>
    <x v="0"/>
    <m/>
    <x v="0"/>
    <m/>
    <m/>
    <m/>
    <x v="0"/>
    <x v="0"/>
    <x v="0"/>
    <x v="0"/>
    <m/>
  </r>
  <r>
    <s v="H"/>
    <x v="8"/>
    <x v="0"/>
    <d v="2019-08-26T00:00:00"/>
    <d v="2020-08-25T00:00:00"/>
    <x v="3"/>
    <n v="3"/>
    <x v="4"/>
    <s v="Ahmedabad"/>
    <x v="5"/>
    <x v="2"/>
    <n v="2089.25"/>
    <d v="2019-08-26T00:00:00"/>
    <x v="0"/>
    <s v="Inception"/>
    <m/>
    <d v="2020-01-22T00:00:00"/>
    <m/>
    <m/>
    <x v="0"/>
    <m/>
    <x v="0"/>
    <x v="0"/>
    <m/>
    <x v="0"/>
    <m/>
    <m/>
    <m/>
    <x v="0"/>
    <x v="0"/>
    <x v="0"/>
    <x v="0"/>
    <m/>
  </r>
  <r>
    <s v="I"/>
    <x v="9"/>
    <x v="0"/>
    <d v="2018-04-01T00:00:00"/>
    <d v="2019-03-31T00:00:00"/>
    <x v="3"/>
    <n v="3"/>
    <x v="4"/>
    <s v="Ahmedabad"/>
    <x v="5"/>
    <x v="0"/>
    <n v="66937.72"/>
    <d v="2018-04-01T00:00:00"/>
    <x v="0"/>
    <s v="Inception"/>
    <m/>
    <d v="2020-01-22T00:00:00"/>
    <m/>
    <m/>
    <x v="0"/>
    <m/>
    <x v="0"/>
    <x v="0"/>
    <m/>
    <x v="0"/>
    <m/>
    <m/>
    <m/>
    <x v="0"/>
    <x v="0"/>
    <x v="0"/>
    <x v="0"/>
    <m/>
  </r>
  <r>
    <s v="J"/>
    <x v="10"/>
    <x v="1"/>
    <d v="2018-04-06T00:00:00"/>
    <d v="2019-04-05T00:00:00"/>
    <x v="0"/>
    <n v="1"/>
    <x v="0"/>
    <s v="Ahmedabad"/>
    <x v="0"/>
    <x v="0"/>
    <n v="49499.839999999997"/>
    <d v="2018-04-06T00:00:00"/>
    <x v="0"/>
    <s v="Endorsement"/>
    <m/>
    <d v="2020-01-22T00:00:00"/>
    <m/>
    <m/>
    <x v="0"/>
    <m/>
    <x v="0"/>
    <x v="0"/>
    <m/>
    <x v="0"/>
    <m/>
    <m/>
    <m/>
    <x v="0"/>
    <x v="0"/>
    <x v="0"/>
    <x v="0"/>
    <m/>
  </r>
  <r>
    <s v="K"/>
    <x v="11"/>
    <x v="0"/>
    <d v="2019-09-01T00:00:00"/>
    <d v="2020-08-31T00:00:00"/>
    <x v="1"/>
    <n v="1"/>
    <x v="0"/>
    <s v="Ahmedabad"/>
    <x v="6"/>
    <x v="0"/>
    <n v="13114.95"/>
    <d v="2019-09-01T00:00:00"/>
    <x v="0"/>
    <s v="Renewal"/>
    <m/>
    <d v="2020-01-22T00:00:00"/>
    <m/>
    <m/>
    <x v="0"/>
    <m/>
    <x v="0"/>
    <x v="0"/>
    <m/>
    <x v="0"/>
    <m/>
    <m/>
    <m/>
    <x v="0"/>
    <x v="0"/>
    <x v="0"/>
    <x v="0"/>
    <m/>
  </r>
  <r>
    <s v="L"/>
    <x v="12"/>
    <x v="0"/>
    <d v="2018-08-01T00:00:00"/>
    <d v="2019-07-31T00:00:00"/>
    <x v="4"/>
    <n v="6"/>
    <x v="5"/>
    <s v="Ahmedabad"/>
    <x v="3"/>
    <x v="0"/>
    <n v="61425"/>
    <d v="2018-08-01T00:00:00"/>
    <x v="0"/>
    <s v="Inception"/>
    <m/>
    <d v="2020-01-22T00:00:00"/>
    <m/>
    <m/>
    <x v="0"/>
    <m/>
    <x v="0"/>
    <x v="0"/>
    <m/>
    <x v="0"/>
    <m/>
    <m/>
    <m/>
    <x v="0"/>
    <x v="0"/>
    <x v="0"/>
    <x v="0"/>
    <m/>
  </r>
  <r>
    <s v="M"/>
    <x v="13"/>
    <x v="0"/>
    <d v="2018-09-27T00:00:00"/>
    <d v="2019-09-26T00:00:00"/>
    <x v="0"/>
    <n v="1"/>
    <x v="0"/>
    <s v="Ahmedabad"/>
    <x v="0"/>
    <x v="0"/>
    <n v="1650"/>
    <d v="2018-09-27T00:00:00"/>
    <x v="0"/>
    <s v="Inception"/>
    <m/>
    <d v="2020-01-22T00:00:00"/>
    <m/>
    <m/>
    <x v="0"/>
    <m/>
    <x v="0"/>
    <x v="0"/>
    <m/>
    <x v="0"/>
    <m/>
    <m/>
    <m/>
    <x v="0"/>
    <x v="0"/>
    <x v="0"/>
    <x v="0"/>
    <m/>
  </r>
  <r>
    <s v="N"/>
    <x v="14"/>
    <x v="1"/>
    <d v="2018-03-01T00:00:00"/>
    <d v="2019-02-28T00:00:00"/>
    <x v="0"/>
    <n v="3"/>
    <x v="4"/>
    <s v="Ahmedabad"/>
    <x v="5"/>
    <x v="0"/>
    <n v="16335"/>
    <d v="2018-03-01T00:00:00"/>
    <x v="0"/>
    <s v="Inception"/>
    <m/>
    <d v="2020-01-22T00:00:00"/>
    <m/>
    <m/>
    <x v="0"/>
    <m/>
    <x v="0"/>
    <x v="0"/>
    <m/>
    <x v="0"/>
    <m/>
    <m/>
    <m/>
    <x v="0"/>
    <x v="0"/>
    <x v="0"/>
    <x v="0"/>
    <m/>
  </r>
  <r>
    <s v="O"/>
    <x v="15"/>
    <x v="0"/>
    <d v="2018-04-02T00:00:00"/>
    <d v="2019-04-01T00:00:00"/>
    <x v="4"/>
    <n v="12"/>
    <x v="6"/>
    <s v="Ahmedabad"/>
    <x v="5"/>
    <x v="0"/>
    <n v="0"/>
    <d v="2018-08-02T00:00:00"/>
    <x v="0"/>
    <s v="Inception"/>
    <m/>
    <d v="2020-01-22T00:00:00"/>
    <m/>
    <m/>
    <x v="0"/>
    <m/>
    <x v="0"/>
    <x v="0"/>
    <m/>
    <x v="0"/>
    <m/>
    <m/>
    <m/>
    <x v="0"/>
    <x v="0"/>
    <x v="0"/>
    <x v="0"/>
    <m/>
  </r>
  <r>
    <s v="P"/>
    <x v="16"/>
    <x v="1"/>
    <d v="2018-06-29T00:00:00"/>
    <d v="2019-06-28T00:00:00"/>
    <x v="2"/>
    <n v="10"/>
    <x v="2"/>
    <s v="Ahmedabad"/>
    <x v="2"/>
    <x v="0"/>
    <n v="4330.05"/>
    <d v="2018-06-29T00:00:00"/>
    <x v="0"/>
    <s v="Endorsement"/>
    <m/>
    <d v="2020-01-22T00:00:00"/>
    <m/>
    <m/>
    <x v="0"/>
    <m/>
    <x v="0"/>
    <x v="0"/>
    <m/>
    <x v="0"/>
    <m/>
    <m/>
    <m/>
    <x v="0"/>
    <x v="0"/>
    <x v="0"/>
    <x v="0"/>
    <m/>
  </r>
  <r>
    <s v="q"/>
    <x v="17"/>
    <x v="1"/>
    <d v="2018-11-01T00:00:00"/>
    <d v="2019-10-31T00:00:00"/>
    <x v="0"/>
    <n v="1"/>
    <x v="0"/>
    <s v="Ahmedabad"/>
    <x v="0"/>
    <x v="0"/>
    <n v="92812.5"/>
    <d v="2018-11-01T00:00:00"/>
    <x v="0"/>
    <s v="Renewal"/>
    <m/>
    <d v="2020-01-22T00:00:00"/>
    <m/>
    <m/>
    <x v="0"/>
    <m/>
    <x v="0"/>
    <x v="0"/>
    <m/>
    <x v="0"/>
    <m/>
    <m/>
    <m/>
    <x v="0"/>
    <x v="0"/>
    <x v="0"/>
    <x v="0"/>
    <m/>
  </r>
  <r>
    <s v="R"/>
    <x v="18"/>
    <x v="0"/>
    <d v="2019-04-12T00:00:00"/>
    <d v="2020-04-11T00:00:00"/>
    <x v="1"/>
    <n v="11"/>
    <x v="7"/>
    <s v="Ahmedabad"/>
    <x v="6"/>
    <x v="0"/>
    <n v="5187.3100000000004"/>
    <d v="2019-04-12T00:00:00"/>
    <x v="0"/>
    <s v="Inception"/>
    <m/>
    <d v="2020-01-22T00:00:00"/>
    <m/>
    <m/>
    <x v="0"/>
    <m/>
    <x v="0"/>
    <x v="0"/>
    <m/>
    <x v="0"/>
    <m/>
    <m/>
    <m/>
    <x v="0"/>
    <x v="0"/>
    <x v="0"/>
    <x v="0"/>
    <m/>
  </r>
  <r>
    <s v="O"/>
    <x v="19"/>
    <x v="0"/>
    <d v="2018-08-25T00:00:00"/>
    <d v="2019-08-24T00:00:00"/>
    <x v="1"/>
    <n v="1"/>
    <x v="0"/>
    <s v="Ahmedabad"/>
    <x v="6"/>
    <x v="2"/>
    <n v="2116.48"/>
    <d v="2018-08-25T00:00:00"/>
    <x v="0"/>
    <s v="Inception"/>
    <m/>
    <d v="2020-01-22T00:00:00"/>
    <m/>
    <m/>
    <x v="0"/>
    <m/>
    <x v="0"/>
    <x v="0"/>
    <m/>
    <x v="0"/>
    <m/>
    <m/>
    <m/>
    <x v="0"/>
    <x v="0"/>
    <x v="0"/>
    <x v="0"/>
    <m/>
  </r>
  <r>
    <s v="T"/>
    <x v="20"/>
    <x v="0"/>
    <d v="2019-05-01T00:00:00"/>
    <d v="2020-04-30T00:00:00"/>
    <x v="3"/>
    <n v="6"/>
    <x v="5"/>
    <s v="Ahmedabad"/>
    <x v="7"/>
    <x v="1"/>
    <n v="379836.08"/>
    <d v="2019-05-01T00:00:00"/>
    <x v="0"/>
    <s v="Inception"/>
    <m/>
    <d v="2020-01-22T00:00:00"/>
    <m/>
    <m/>
    <x v="0"/>
    <m/>
    <x v="0"/>
    <x v="0"/>
    <m/>
    <x v="0"/>
    <m/>
    <m/>
    <m/>
    <x v="0"/>
    <x v="0"/>
    <x v="0"/>
    <x v="0"/>
    <m/>
  </r>
  <r>
    <s v="U"/>
    <x v="21"/>
    <x v="0"/>
    <d v="2019-01-01T00:00:00"/>
    <d v="2019-12-31T00:00:00"/>
    <x v="4"/>
    <n v="1"/>
    <x v="0"/>
    <s v="Ahmedabad"/>
    <x v="3"/>
    <x v="0"/>
    <n v="137500"/>
    <d v="2019-01-01T00:00:00"/>
    <x v="0"/>
    <s v="Inception"/>
    <m/>
    <d v="2020-01-22T00:00:00"/>
    <m/>
    <m/>
    <x v="0"/>
    <m/>
    <x v="0"/>
    <x v="0"/>
    <m/>
    <x v="0"/>
    <m/>
    <m/>
    <m/>
    <x v="0"/>
    <x v="0"/>
    <x v="0"/>
    <x v="0"/>
    <m/>
  </r>
  <r>
    <s v="V"/>
    <x v="22"/>
    <x v="0"/>
    <d v="2018-03-01T00:00:00"/>
    <d v="2019-02-28T00:00:00"/>
    <x v="1"/>
    <n v="5"/>
    <x v="8"/>
    <s v="Ahmedabad"/>
    <x v="4"/>
    <x v="1"/>
    <n v="116487.03999999999"/>
    <d v="2018-03-01T00:00:00"/>
    <x v="0"/>
    <s v="Inception"/>
    <m/>
    <d v="2020-01-22T00:00:00"/>
    <m/>
    <m/>
    <x v="0"/>
    <m/>
    <x v="0"/>
    <x v="0"/>
    <m/>
    <x v="0"/>
    <m/>
    <m/>
    <m/>
    <x v="0"/>
    <x v="0"/>
    <x v="0"/>
    <x v="0"/>
    <m/>
  </r>
  <r>
    <s v="AA"/>
    <x v="23"/>
    <x v="0"/>
    <d v="2019-05-23T00:00:00"/>
    <d v="2020-05-22T00:00:00"/>
    <x v="4"/>
    <n v="1"/>
    <x v="0"/>
    <s v="Ahmedabad"/>
    <x v="3"/>
    <x v="0"/>
    <n v="28125"/>
    <d v="2019-05-23T00:00:00"/>
    <x v="0"/>
    <s v="Inception"/>
    <m/>
    <d v="2020-01-22T00:00:00"/>
    <m/>
    <m/>
    <x v="0"/>
    <m/>
    <x v="0"/>
    <x v="0"/>
    <m/>
    <x v="0"/>
    <m/>
    <m/>
    <m/>
    <x v="0"/>
    <x v="0"/>
    <x v="0"/>
    <x v="0"/>
    <m/>
  </r>
  <r>
    <s v="BB"/>
    <x v="24"/>
    <x v="1"/>
    <d v="2018-09-05T00:00:00"/>
    <d v="2019-09-04T00:00:00"/>
    <x v="3"/>
    <n v="3"/>
    <x v="4"/>
    <s v="Ahmedabad"/>
    <x v="5"/>
    <x v="0"/>
    <n v="6058.38"/>
    <d v="2018-09-05T00:00:00"/>
    <x v="0"/>
    <s v="Inception"/>
    <m/>
    <d v="2020-01-22T00:00:00"/>
    <m/>
    <m/>
    <x v="0"/>
    <m/>
    <x v="0"/>
    <x v="0"/>
    <m/>
    <x v="0"/>
    <m/>
    <m/>
    <m/>
    <x v="0"/>
    <x v="0"/>
    <x v="0"/>
    <x v="0"/>
    <m/>
  </r>
  <r>
    <s v="S"/>
    <x v="25"/>
    <x v="0"/>
    <d v="2018-09-16T00:00:00"/>
    <d v="2019-09-15T00:00:00"/>
    <x v="1"/>
    <n v="1"/>
    <x v="0"/>
    <s v="Ahmedabad"/>
    <x v="6"/>
    <x v="0"/>
    <n v="33977.82"/>
    <d v="2018-09-16T00:00:00"/>
    <x v="0"/>
    <s v="Inception"/>
    <m/>
    <d v="2020-01-22T00:00:00"/>
    <m/>
    <m/>
    <x v="0"/>
    <m/>
    <x v="0"/>
    <x v="0"/>
    <m/>
    <x v="0"/>
    <m/>
    <m/>
    <m/>
    <x v="0"/>
    <x v="0"/>
    <x v="0"/>
    <x v="0"/>
    <m/>
  </r>
  <r>
    <s v="EE"/>
    <x v="26"/>
    <x v="0"/>
    <d v="2019-01-29T00:00:00"/>
    <d v="2020-01-28T00:00:00"/>
    <x v="1"/>
    <n v="13"/>
    <x v="9"/>
    <s v="Ahmedabad"/>
    <x v="6"/>
    <x v="1"/>
    <n v="5462.5"/>
    <d v="2019-01-29T00:00:00"/>
    <x v="0"/>
    <s v="Inception"/>
    <m/>
    <d v="2020-01-22T00:00:00"/>
    <m/>
    <m/>
    <x v="0"/>
    <m/>
    <x v="0"/>
    <x v="0"/>
    <m/>
    <x v="0"/>
    <m/>
    <m/>
    <m/>
    <x v="0"/>
    <x v="0"/>
    <x v="0"/>
    <x v="0"/>
    <m/>
  </r>
  <r>
    <s v="ABC"/>
    <x v="27"/>
    <x v="0"/>
    <d v="2019-03-30T00:00:00"/>
    <d v="2020-03-29T00:00:00"/>
    <x v="4"/>
    <n v="6"/>
    <x v="5"/>
    <s v="Ahmedabad"/>
    <x v="3"/>
    <x v="1"/>
    <n v="14107.5"/>
    <d v="2019-03-30T00:00:00"/>
    <x v="0"/>
    <s v="Inception"/>
    <m/>
    <d v="2020-01-22T00:00:00"/>
    <m/>
    <m/>
    <x v="0"/>
    <m/>
    <x v="0"/>
    <x v="0"/>
    <m/>
    <x v="0"/>
    <m/>
    <m/>
    <m/>
    <x v="0"/>
    <x v="0"/>
    <x v="0"/>
    <x v="0"/>
    <m/>
  </r>
  <r>
    <s v="TT"/>
    <x v="28"/>
    <x v="1"/>
    <d v="2018-02-20T00:00:00"/>
    <d v="2019-02-19T00:00:00"/>
    <x v="3"/>
    <n v="9"/>
    <x v="3"/>
    <s v="Ahmedabad"/>
    <x v="6"/>
    <x v="0"/>
    <n v="8452.1299999999992"/>
    <d v="2018-02-20T00:00:00"/>
    <x v="0"/>
    <s v="Inception"/>
    <m/>
    <d v="2020-01-22T00:00:00"/>
    <m/>
    <m/>
    <x v="0"/>
    <m/>
    <x v="0"/>
    <x v="0"/>
    <m/>
    <x v="0"/>
    <m/>
    <m/>
    <m/>
    <x v="0"/>
    <x v="0"/>
    <x v="0"/>
    <x v="0"/>
    <m/>
  </r>
  <r>
    <s v="XYZ"/>
    <x v="29"/>
    <x v="0"/>
    <d v="2019-12-02T00:00:00"/>
    <d v="2020-12-01T00:00:00"/>
    <x v="0"/>
    <n v="2"/>
    <x v="1"/>
    <s v="Ahmedabad"/>
    <x v="0"/>
    <x v="1"/>
    <n v="20625"/>
    <d v="2019-12-02T00:00:00"/>
    <x v="0"/>
    <s v="Inception"/>
    <m/>
    <d v="2020-01-22T00:00:00"/>
    <m/>
    <m/>
    <x v="0"/>
    <m/>
    <x v="0"/>
    <x v="0"/>
    <m/>
    <x v="0"/>
    <m/>
    <m/>
    <m/>
    <x v="0"/>
    <x v="0"/>
    <x v="0"/>
    <x v="0"/>
    <m/>
  </r>
  <r>
    <s v="SRE"/>
    <x v="30"/>
    <x v="0"/>
    <d v="2019-06-30T00:00:00"/>
    <d v="2020-06-29T00:00:00"/>
    <x v="0"/>
    <n v="1"/>
    <x v="0"/>
    <s v="Ahmedabad"/>
    <x v="0"/>
    <x v="0"/>
    <n v="66188.759999999995"/>
    <d v="2019-06-30T00:00:00"/>
    <x v="0"/>
    <s v="Renewal"/>
    <m/>
    <d v="2020-01-22T00:00:00"/>
    <m/>
    <m/>
    <x v="0"/>
    <m/>
    <x v="0"/>
    <x v="0"/>
    <m/>
    <x v="0"/>
    <m/>
    <m/>
    <m/>
    <x v="0"/>
    <x v="0"/>
    <x v="0"/>
    <x v="0"/>
    <m/>
  </r>
  <r>
    <s v="DDD"/>
    <x v="31"/>
    <x v="0"/>
    <d v="2018-12-07T00:00:00"/>
    <d v="2019-12-06T00:00:00"/>
    <x v="0"/>
    <n v="1"/>
    <x v="0"/>
    <s v="Ahmedabad"/>
    <x v="0"/>
    <x v="2"/>
    <n v="3630"/>
    <d v="2019-12-17T00:00:00"/>
    <x v="0"/>
    <s v="Inception"/>
    <m/>
    <d v="2020-01-22T00:00:00"/>
    <m/>
    <m/>
    <x v="0"/>
    <m/>
    <x v="0"/>
    <x v="0"/>
    <m/>
    <x v="0"/>
    <m/>
    <m/>
    <m/>
    <x v="0"/>
    <x v="0"/>
    <x v="0"/>
    <x v="0"/>
    <m/>
  </r>
  <r>
    <s v="LAP"/>
    <x v="32"/>
    <x v="1"/>
    <d v="2018-04-01T00:00:00"/>
    <d v="2019-03-31T00:00:00"/>
    <x v="0"/>
    <n v="6"/>
    <x v="5"/>
    <s v="Ahmedabad"/>
    <x v="0"/>
    <x v="0"/>
    <n v="23771.05"/>
    <d v="2018-04-01T00:00:00"/>
    <x v="0"/>
    <s v="Inception"/>
    <m/>
    <d v="2020-01-22T00:00:00"/>
    <m/>
    <m/>
    <x v="0"/>
    <m/>
    <x v="0"/>
    <x v="0"/>
    <m/>
    <x v="0"/>
    <m/>
    <m/>
    <m/>
    <x v="0"/>
    <x v="0"/>
    <x v="0"/>
    <x v="0"/>
    <m/>
  </r>
  <r>
    <s v="ZZ"/>
    <x v="33"/>
    <x v="0"/>
    <d v="2018-11-29T00:00:00"/>
    <d v="2019-11-28T00:00:00"/>
    <x v="4"/>
    <n v="6"/>
    <x v="5"/>
    <s v="Ahmedabad"/>
    <x v="3"/>
    <x v="1"/>
    <n v="115173.38"/>
    <d v="2018-11-29T00:00:00"/>
    <x v="0"/>
    <s v="Inception"/>
    <m/>
    <d v="2020-01-22T00:00:00"/>
    <m/>
    <m/>
    <x v="0"/>
    <m/>
    <x v="0"/>
    <x v="0"/>
    <m/>
    <x v="0"/>
    <m/>
    <m/>
    <m/>
    <x v="0"/>
    <x v="0"/>
    <x v="0"/>
    <x v="0"/>
    <m/>
  </r>
  <r>
    <s v="I"/>
    <x v="34"/>
    <x v="2"/>
    <m/>
    <m/>
    <x v="5"/>
    <m/>
    <x v="10"/>
    <s v="Ahmedabad"/>
    <x v="3"/>
    <x v="1"/>
    <n v="84746"/>
    <d v="2019-04-10T00:00:00"/>
    <x v="1"/>
    <m/>
    <m/>
    <m/>
    <n v="1900001087"/>
    <d v="2019-04-11T00:00:00"/>
    <x v="1"/>
    <m/>
    <x v="0"/>
    <x v="0"/>
    <m/>
    <x v="0"/>
    <m/>
    <m/>
    <m/>
    <x v="0"/>
    <x v="0"/>
    <x v="0"/>
    <x v="0"/>
    <m/>
  </r>
  <r>
    <s v="M"/>
    <x v="35"/>
    <x v="2"/>
    <m/>
    <m/>
    <x v="5"/>
    <m/>
    <x v="10"/>
    <s v="Ahmedabad"/>
    <x v="5"/>
    <x v="0"/>
    <n v="86724"/>
    <d v="2019-01-01T00:00:00"/>
    <x v="0"/>
    <m/>
    <m/>
    <m/>
    <n v="1900001106"/>
    <d v="2019-05-17T00:00:00"/>
    <x v="2"/>
    <m/>
    <x v="0"/>
    <x v="0"/>
    <m/>
    <x v="0"/>
    <m/>
    <m/>
    <m/>
    <x v="0"/>
    <x v="0"/>
    <x v="0"/>
    <x v="0"/>
    <m/>
  </r>
  <r>
    <s v="S"/>
    <x v="36"/>
    <x v="2"/>
    <m/>
    <m/>
    <x v="5"/>
    <m/>
    <x v="10"/>
    <s v="Ahmedabad"/>
    <x v="5"/>
    <x v="0"/>
    <n v="148500"/>
    <d v="2019-03-01T00:00:00"/>
    <x v="0"/>
    <m/>
    <m/>
    <m/>
    <n v="1900001110"/>
    <d v="2019-05-17T00:00:00"/>
    <x v="2"/>
    <m/>
    <x v="0"/>
    <x v="0"/>
    <m/>
    <x v="0"/>
    <m/>
    <m/>
    <m/>
    <x v="0"/>
    <x v="0"/>
    <x v="0"/>
    <x v="0"/>
    <m/>
  </r>
  <r>
    <s v="V"/>
    <x v="37"/>
    <x v="2"/>
    <m/>
    <m/>
    <x v="5"/>
    <m/>
    <x v="11"/>
    <s v="Ahmedabad"/>
    <x v="5"/>
    <x v="2"/>
    <n v="12019"/>
    <d v="2019-01-01T00:00:00"/>
    <x v="0"/>
    <m/>
    <m/>
    <m/>
    <n v="1900001136"/>
    <d v="2019-05-30T00:00:00"/>
    <x v="3"/>
    <m/>
    <x v="0"/>
    <x v="0"/>
    <m/>
    <x v="0"/>
    <m/>
    <m/>
    <m/>
    <x v="0"/>
    <x v="0"/>
    <x v="0"/>
    <x v="0"/>
    <m/>
  </r>
  <r>
    <s v="I"/>
    <x v="38"/>
    <x v="2"/>
    <m/>
    <m/>
    <x v="5"/>
    <m/>
    <x v="10"/>
    <s v="Ahmedabad"/>
    <x v="5"/>
    <x v="0"/>
    <n v="12500"/>
    <d v="2019-02-26T00:00:00"/>
    <x v="0"/>
    <m/>
    <m/>
    <m/>
    <n v="1900001164"/>
    <d v="2019-06-11T00:00:00"/>
    <x v="2"/>
    <m/>
    <x v="0"/>
    <x v="0"/>
    <m/>
    <x v="0"/>
    <m/>
    <m/>
    <m/>
    <x v="0"/>
    <x v="0"/>
    <x v="0"/>
    <x v="0"/>
    <m/>
  </r>
  <r>
    <s v="I"/>
    <x v="39"/>
    <x v="2"/>
    <m/>
    <m/>
    <x v="5"/>
    <m/>
    <x v="10"/>
    <s v="Ahmedabad"/>
    <x v="2"/>
    <x v="1"/>
    <n v="58300"/>
    <d v="2019-02-16T00:00:00"/>
    <x v="0"/>
    <m/>
    <m/>
    <m/>
    <n v="1900001165"/>
    <d v="2019-06-11T00:00:00"/>
    <x v="4"/>
    <m/>
    <x v="0"/>
    <x v="0"/>
    <m/>
    <x v="0"/>
    <m/>
    <m/>
    <m/>
    <x v="0"/>
    <x v="0"/>
    <x v="0"/>
    <x v="0"/>
    <m/>
  </r>
  <r>
    <s v="A"/>
    <x v="40"/>
    <x v="2"/>
    <m/>
    <m/>
    <x v="5"/>
    <m/>
    <x v="11"/>
    <s v="Ahmedabad"/>
    <x v="5"/>
    <x v="2"/>
    <n v="12019"/>
    <d v="2019-01-01T00:00:00"/>
    <x v="0"/>
    <m/>
    <m/>
    <m/>
    <n v="1900001167"/>
    <d v="2019-06-13T00:00:00"/>
    <x v="3"/>
    <m/>
    <x v="0"/>
    <x v="0"/>
    <m/>
    <x v="0"/>
    <m/>
    <m/>
    <m/>
    <x v="0"/>
    <x v="0"/>
    <x v="0"/>
    <x v="0"/>
    <m/>
  </r>
  <r>
    <s v="C"/>
    <x v="41"/>
    <x v="2"/>
    <m/>
    <m/>
    <x v="5"/>
    <m/>
    <x v="11"/>
    <s v="Ahmedabad"/>
    <x v="5"/>
    <x v="2"/>
    <n v="30048"/>
    <d v="2019-01-01T00:00:00"/>
    <x v="0"/>
    <m/>
    <m/>
    <m/>
    <n v="1900001168"/>
    <d v="2019-06-13T00:00:00"/>
    <x v="3"/>
    <m/>
    <x v="0"/>
    <x v="0"/>
    <m/>
    <x v="0"/>
    <m/>
    <m/>
    <m/>
    <x v="0"/>
    <x v="0"/>
    <x v="0"/>
    <x v="0"/>
    <m/>
  </r>
  <r>
    <s v="P"/>
    <x v="42"/>
    <x v="2"/>
    <m/>
    <m/>
    <x v="5"/>
    <m/>
    <x v="10"/>
    <s v="Ahmedabad"/>
    <x v="5"/>
    <x v="0"/>
    <n v="14394"/>
    <d v="2019-01-02T00:00:00"/>
    <x v="0"/>
    <m/>
    <m/>
    <m/>
    <n v="1900001169"/>
    <d v="2019-06-13T00:00:00"/>
    <x v="2"/>
    <m/>
    <x v="0"/>
    <x v="0"/>
    <m/>
    <x v="0"/>
    <m/>
    <m/>
    <m/>
    <x v="0"/>
    <x v="0"/>
    <x v="0"/>
    <x v="0"/>
    <m/>
  </r>
  <r>
    <s v="S"/>
    <x v="43"/>
    <x v="2"/>
    <m/>
    <m/>
    <x v="5"/>
    <m/>
    <x v="10"/>
    <s v="Ahmedabad"/>
    <x v="2"/>
    <x v="3"/>
    <n v="32392"/>
    <d v="2019-05-10T00:00:00"/>
    <x v="0"/>
    <m/>
    <m/>
    <m/>
    <n v="1900001282"/>
    <d v="2019-07-13T00:00:00"/>
    <x v="5"/>
    <m/>
    <x v="0"/>
    <x v="0"/>
    <m/>
    <x v="0"/>
    <m/>
    <m/>
    <m/>
    <x v="0"/>
    <x v="0"/>
    <x v="0"/>
    <x v="0"/>
    <m/>
  </r>
  <r>
    <s v="M"/>
    <x v="44"/>
    <x v="2"/>
    <m/>
    <m/>
    <x v="5"/>
    <m/>
    <x v="12"/>
    <s v="Ahmedabad"/>
    <x v="3"/>
    <x v="2"/>
    <n v="162500"/>
    <d v="2019-04-05T00:00:00"/>
    <x v="0"/>
    <m/>
    <m/>
    <m/>
    <n v="1900001293"/>
    <d v="2019-07-16T00:00:00"/>
    <x v="6"/>
    <m/>
    <x v="0"/>
    <x v="0"/>
    <m/>
    <x v="0"/>
    <m/>
    <m/>
    <m/>
    <x v="0"/>
    <x v="0"/>
    <x v="0"/>
    <x v="0"/>
    <m/>
  </r>
  <r>
    <s v="M"/>
    <x v="45"/>
    <x v="2"/>
    <m/>
    <m/>
    <x v="5"/>
    <m/>
    <x v="12"/>
    <s v="Ahmedabad"/>
    <x v="3"/>
    <x v="2"/>
    <n v="250000"/>
    <d v="2019-04-18T00:00:00"/>
    <x v="0"/>
    <m/>
    <m/>
    <m/>
    <n v="1900001294"/>
    <d v="2019-07-16T00:00:00"/>
    <x v="6"/>
    <m/>
    <x v="0"/>
    <x v="0"/>
    <m/>
    <x v="0"/>
    <m/>
    <m/>
    <m/>
    <x v="0"/>
    <x v="0"/>
    <x v="0"/>
    <x v="0"/>
    <m/>
  </r>
  <r>
    <s v="I"/>
    <x v="46"/>
    <x v="2"/>
    <m/>
    <m/>
    <x v="5"/>
    <m/>
    <x v="11"/>
    <s v="Ahmedabad"/>
    <x v="5"/>
    <x v="2"/>
    <n v="2646"/>
    <d v="2019-03-11T00:00:00"/>
    <x v="0"/>
    <m/>
    <m/>
    <m/>
    <n v="1900001304"/>
    <d v="2019-07-17T00:00:00"/>
    <x v="3"/>
    <m/>
    <x v="0"/>
    <x v="0"/>
    <m/>
    <x v="0"/>
    <m/>
    <m/>
    <m/>
    <x v="0"/>
    <x v="0"/>
    <x v="0"/>
    <x v="0"/>
    <m/>
  </r>
  <r>
    <s v="F"/>
    <x v="47"/>
    <x v="2"/>
    <m/>
    <m/>
    <x v="5"/>
    <m/>
    <x v="10"/>
    <s v="Ahmedabad"/>
    <x v="5"/>
    <x v="3"/>
    <n v="18150"/>
    <d v="2019-01-03T00:00:00"/>
    <x v="0"/>
    <m/>
    <m/>
    <m/>
    <n v="1900001305"/>
    <d v="2019-07-17T00:00:00"/>
    <x v="2"/>
    <m/>
    <x v="0"/>
    <x v="0"/>
    <m/>
    <x v="0"/>
    <m/>
    <m/>
    <m/>
    <x v="0"/>
    <x v="0"/>
    <x v="0"/>
    <x v="0"/>
    <m/>
  </r>
  <r>
    <s v="L"/>
    <x v="48"/>
    <x v="2"/>
    <m/>
    <m/>
    <x v="5"/>
    <m/>
    <x v="13"/>
    <s v="Ahmedabad"/>
    <x v="3"/>
    <x v="2"/>
    <n v="60025"/>
    <d v="2019-04-22T00:00:00"/>
    <x v="0"/>
    <m/>
    <m/>
    <m/>
    <n v="1900001306"/>
    <d v="2019-07-17T00:00:00"/>
    <x v="7"/>
    <m/>
    <x v="0"/>
    <x v="0"/>
    <m/>
    <x v="0"/>
    <m/>
    <m/>
    <m/>
    <x v="0"/>
    <x v="0"/>
    <x v="0"/>
    <x v="0"/>
    <m/>
  </r>
  <r>
    <s v="G"/>
    <x v="49"/>
    <x v="2"/>
    <m/>
    <m/>
    <x v="5"/>
    <m/>
    <x v="14"/>
    <s v="Ahmedabad"/>
    <x v="1"/>
    <x v="2"/>
    <n v="134736"/>
    <d v="2019-04-25T00:00:00"/>
    <x v="0"/>
    <m/>
    <m/>
    <m/>
    <n v="1900001308"/>
    <d v="2019-07-17T00:00:00"/>
    <x v="8"/>
    <m/>
    <x v="0"/>
    <x v="0"/>
    <m/>
    <x v="0"/>
    <m/>
    <m/>
    <m/>
    <x v="0"/>
    <x v="0"/>
    <x v="0"/>
    <x v="0"/>
    <m/>
  </r>
  <r>
    <s v="S"/>
    <x v="43"/>
    <x v="2"/>
    <m/>
    <m/>
    <x v="5"/>
    <m/>
    <x v="10"/>
    <s v="Ahmedabad"/>
    <x v="2"/>
    <x v="0"/>
    <n v="914999"/>
    <d v="2019-01-01T00:00:00"/>
    <x v="0"/>
    <m/>
    <m/>
    <m/>
    <n v="1900001342"/>
    <d v="2019-07-23T00:00:00"/>
    <x v="5"/>
    <m/>
    <x v="0"/>
    <x v="0"/>
    <m/>
    <x v="0"/>
    <m/>
    <m/>
    <m/>
    <x v="0"/>
    <x v="0"/>
    <x v="0"/>
    <x v="0"/>
    <m/>
  </r>
  <r>
    <s v="P"/>
    <x v="50"/>
    <x v="2"/>
    <m/>
    <m/>
    <x v="5"/>
    <m/>
    <x v="11"/>
    <s v="Ahmedabad"/>
    <x v="5"/>
    <x v="2"/>
    <n v="2942"/>
    <d v="2019-04-11T00:00:00"/>
    <x v="0"/>
    <m/>
    <m/>
    <m/>
    <n v="1900001354"/>
    <d v="2019-07-24T00:00:00"/>
    <x v="3"/>
    <m/>
    <x v="0"/>
    <x v="0"/>
    <m/>
    <x v="0"/>
    <m/>
    <m/>
    <m/>
    <x v="0"/>
    <x v="0"/>
    <x v="0"/>
    <x v="0"/>
    <m/>
  </r>
  <r>
    <s v="M"/>
    <x v="51"/>
    <x v="2"/>
    <m/>
    <m/>
    <x v="5"/>
    <m/>
    <x v="11"/>
    <s v="Ahmedabad"/>
    <x v="5"/>
    <x v="2"/>
    <n v="6740"/>
    <d v="2019-03-04T00:00:00"/>
    <x v="0"/>
    <m/>
    <m/>
    <m/>
    <n v="1900001355"/>
    <d v="2019-07-24T00:00:00"/>
    <x v="3"/>
    <m/>
    <x v="0"/>
    <x v="0"/>
    <m/>
    <x v="0"/>
    <m/>
    <m/>
    <m/>
    <x v="0"/>
    <x v="0"/>
    <x v="0"/>
    <x v="0"/>
    <m/>
  </r>
  <r>
    <s v="M"/>
    <x v="52"/>
    <x v="2"/>
    <m/>
    <m/>
    <x v="5"/>
    <m/>
    <x v="10"/>
    <s v="Ahmedabad"/>
    <x v="5"/>
    <x v="0"/>
    <n v="6740"/>
    <d v="2019-02-17T00:00:00"/>
    <x v="0"/>
    <m/>
    <m/>
    <m/>
    <n v="1900001356"/>
    <d v="2019-07-24T00:00:00"/>
    <x v="2"/>
    <m/>
    <x v="0"/>
    <x v="0"/>
    <m/>
    <x v="0"/>
    <m/>
    <m/>
    <m/>
    <x v="0"/>
    <x v="0"/>
    <x v="0"/>
    <x v="0"/>
    <m/>
  </r>
  <r>
    <s v="T"/>
    <x v="53"/>
    <x v="2"/>
    <m/>
    <m/>
    <x v="5"/>
    <m/>
    <x v="14"/>
    <s v="Ahmedabad"/>
    <x v="3"/>
    <x v="2"/>
    <n v="74250"/>
    <d v="2019-04-01T00:00:00"/>
    <x v="0"/>
    <m/>
    <m/>
    <m/>
    <n v="1900001361"/>
    <d v="2019-07-27T00:00:00"/>
    <x v="8"/>
    <m/>
    <x v="0"/>
    <x v="0"/>
    <m/>
    <x v="0"/>
    <m/>
    <m/>
    <m/>
    <x v="0"/>
    <x v="0"/>
    <x v="0"/>
    <x v="0"/>
    <m/>
  </r>
  <r>
    <s v="S"/>
    <x v="54"/>
    <x v="2"/>
    <m/>
    <m/>
    <x v="5"/>
    <m/>
    <x v="10"/>
    <s v="Ahmedabad"/>
    <x v="2"/>
    <x v="3"/>
    <n v="1614"/>
    <d v="2019-03-11T00:00:00"/>
    <x v="0"/>
    <m/>
    <m/>
    <m/>
    <n v="1900001376"/>
    <d v="2019-07-29T00:00:00"/>
    <x v="5"/>
    <m/>
    <x v="0"/>
    <x v="0"/>
    <m/>
    <x v="0"/>
    <m/>
    <m/>
    <m/>
    <x v="0"/>
    <x v="0"/>
    <x v="0"/>
    <x v="0"/>
    <m/>
  </r>
  <r>
    <s v="P"/>
    <x v="55"/>
    <x v="2"/>
    <m/>
    <m/>
    <x v="5"/>
    <m/>
    <x v="12"/>
    <s v="Ahmedabad"/>
    <x v="0"/>
    <x v="2"/>
    <n v="11540"/>
    <d v="2019-01-29T00:00:00"/>
    <x v="0"/>
    <m/>
    <m/>
    <m/>
    <n v="1900001377"/>
    <d v="2019-07-29T00:00:00"/>
    <x v="6"/>
    <m/>
    <x v="0"/>
    <x v="0"/>
    <m/>
    <x v="0"/>
    <m/>
    <m/>
    <m/>
    <x v="0"/>
    <x v="0"/>
    <x v="0"/>
    <x v="0"/>
    <m/>
  </r>
  <r>
    <s v="S"/>
    <x v="56"/>
    <x v="2"/>
    <m/>
    <m/>
    <x v="5"/>
    <m/>
    <x v="10"/>
    <s v="Ahmedabad"/>
    <x v="5"/>
    <x v="3"/>
    <n v="2140"/>
    <d v="2019-01-30T00:00:00"/>
    <x v="0"/>
    <m/>
    <m/>
    <m/>
    <n v="1900001385"/>
    <d v="2019-07-31T00:00:00"/>
    <x v="2"/>
    <m/>
    <x v="0"/>
    <x v="0"/>
    <m/>
    <x v="0"/>
    <m/>
    <m/>
    <m/>
    <x v="0"/>
    <x v="0"/>
    <x v="0"/>
    <x v="0"/>
    <m/>
  </r>
  <r>
    <s v="F"/>
    <x v="57"/>
    <x v="2"/>
    <m/>
    <m/>
    <x v="5"/>
    <m/>
    <x v="10"/>
    <s v="Ahmedabad"/>
    <x v="5"/>
    <x v="0"/>
    <n v="45375"/>
    <d v="2019-03-01T00:00:00"/>
    <x v="0"/>
    <m/>
    <m/>
    <m/>
    <n v="1900001388"/>
    <d v="2019-07-31T00:00:00"/>
    <x v="2"/>
    <m/>
    <x v="0"/>
    <x v="0"/>
    <m/>
    <x v="0"/>
    <m/>
    <m/>
    <m/>
    <x v="0"/>
    <x v="0"/>
    <x v="0"/>
    <x v="0"/>
    <m/>
  </r>
  <r>
    <s v="M"/>
    <x v="58"/>
    <x v="2"/>
    <m/>
    <m/>
    <x v="5"/>
    <m/>
    <x v="11"/>
    <s v="Ahmedabad"/>
    <x v="5"/>
    <x v="2"/>
    <n v="11593"/>
    <d v="2019-04-01T00:00:00"/>
    <x v="0"/>
    <m/>
    <m/>
    <m/>
    <n v="1900001390"/>
    <d v="2019-07-31T00:00:00"/>
    <x v="3"/>
    <m/>
    <x v="0"/>
    <x v="0"/>
    <m/>
    <x v="0"/>
    <m/>
    <m/>
    <m/>
    <x v="0"/>
    <x v="0"/>
    <x v="0"/>
    <x v="0"/>
    <m/>
  </r>
  <r>
    <s v="S"/>
    <x v="43"/>
    <x v="2"/>
    <m/>
    <m/>
    <x v="5"/>
    <m/>
    <x v="10"/>
    <s v="Ahmedabad"/>
    <x v="2"/>
    <x v="3"/>
    <n v="46995"/>
    <d v="2019-01-29T00:00:00"/>
    <x v="0"/>
    <m/>
    <m/>
    <m/>
    <n v="1900001392"/>
    <d v="2019-07-31T00:00:00"/>
    <x v="5"/>
    <m/>
    <x v="0"/>
    <x v="0"/>
    <m/>
    <x v="0"/>
    <m/>
    <m/>
    <m/>
    <x v="0"/>
    <x v="0"/>
    <x v="0"/>
    <x v="0"/>
    <m/>
  </r>
  <r>
    <s v="M"/>
    <x v="59"/>
    <x v="2"/>
    <m/>
    <m/>
    <x v="5"/>
    <m/>
    <x v="11"/>
    <s v="Ahmedabad"/>
    <x v="5"/>
    <x v="2"/>
    <n v="529"/>
    <d v="2019-02-18T00:00:00"/>
    <x v="0"/>
    <m/>
    <m/>
    <m/>
    <n v="1900001393"/>
    <d v="2019-07-31T00:00:00"/>
    <x v="3"/>
    <m/>
    <x v="0"/>
    <x v="0"/>
    <m/>
    <x v="0"/>
    <m/>
    <m/>
    <m/>
    <x v="0"/>
    <x v="0"/>
    <x v="0"/>
    <x v="0"/>
    <m/>
  </r>
  <r>
    <s v="B"/>
    <x v="60"/>
    <x v="2"/>
    <m/>
    <m/>
    <x v="5"/>
    <m/>
    <x v="10"/>
    <s v="Ahmedabad"/>
    <x v="5"/>
    <x v="0"/>
    <n v="18563"/>
    <d v="2019-03-01T00:00:00"/>
    <x v="0"/>
    <m/>
    <m/>
    <m/>
    <n v="1900001394"/>
    <d v="2019-07-31T00:00:00"/>
    <x v="2"/>
    <m/>
    <x v="0"/>
    <x v="0"/>
    <m/>
    <x v="0"/>
    <m/>
    <m/>
    <m/>
    <x v="0"/>
    <x v="0"/>
    <x v="0"/>
    <x v="0"/>
    <m/>
  </r>
  <r>
    <s v="S"/>
    <x v="43"/>
    <x v="2"/>
    <m/>
    <m/>
    <x v="5"/>
    <m/>
    <x v="10"/>
    <s v="Ahmedabad"/>
    <x v="2"/>
    <x v="3"/>
    <n v="27435"/>
    <d v="2019-01-23T00:00:00"/>
    <x v="0"/>
    <m/>
    <m/>
    <m/>
    <n v="1900001396"/>
    <d v="2019-07-31T00:00:00"/>
    <x v="5"/>
    <m/>
    <x v="0"/>
    <x v="0"/>
    <m/>
    <x v="0"/>
    <m/>
    <m/>
    <m/>
    <x v="0"/>
    <x v="0"/>
    <x v="0"/>
    <x v="0"/>
    <m/>
  </r>
  <r>
    <s v="W"/>
    <x v="61"/>
    <x v="2"/>
    <m/>
    <m/>
    <x v="5"/>
    <m/>
    <x v="10"/>
    <s v="Ahmedabad"/>
    <x v="2"/>
    <x v="0"/>
    <n v="25336"/>
    <d v="2019-02-26T00:00:00"/>
    <x v="0"/>
    <m/>
    <m/>
    <m/>
    <n v="1900001397"/>
    <d v="2019-07-31T00:00:00"/>
    <x v="5"/>
    <m/>
    <x v="0"/>
    <x v="0"/>
    <m/>
    <x v="0"/>
    <m/>
    <m/>
    <m/>
    <x v="0"/>
    <x v="0"/>
    <x v="0"/>
    <x v="0"/>
    <m/>
  </r>
  <r>
    <s v="W"/>
    <x v="62"/>
    <x v="2"/>
    <m/>
    <m/>
    <x v="5"/>
    <m/>
    <x v="10"/>
    <s v="Ahmedabad"/>
    <x v="2"/>
    <x v="3"/>
    <n v="10772"/>
    <d v="2019-03-14T00:00:00"/>
    <x v="0"/>
    <m/>
    <m/>
    <m/>
    <n v="1900001398"/>
    <d v="2019-07-31T00:00:00"/>
    <x v="5"/>
    <m/>
    <x v="0"/>
    <x v="0"/>
    <m/>
    <x v="0"/>
    <m/>
    <m/>
    <m/>
    <x v="0"/>
    <x v="0"/>
    <x v="0"/>
    <x v="0"/>
    <m/>
  </r>
  <r>
    <s v="W"/>
    <x v="62"/>
    <x v="2"/>
    <m/>
    <m/>
    <x v="5"/>
    <m/>
    <x v="10"/>
    <s v="Ahmedabad"/>
    <x v="2"/>
    <x v="3"/>
    <n v="9283"/>
    <d v="2019-04-18T00:00:00"/>
    <x v="0"/>
    <m/>
    <m/>
    <m/>
    <n v="1900001403"/>
    <d v="2019-07-31T00:00:00"/>
    <x v="5"/>
    <m/>
    <x v="0"/>
    <x v="0"/>
    <m/>
    <x v="0"/>
    <m/>
    <m/>
    <m/>
    <x v="0"/>
    <x v="0"/>
    <x v="0"/>
    <x v="0"/>
    <m/>
  </r>
  <r>
    <s v="W"/>
    <x v="62"/>
    <x v="2"/>
    <m/>
    <m/>
    <x v="5"/>
    <m/>
    <x v="10"/>
    <s v="Ahmedabad"/>
    <x v="2"/>
    <x v="3"/>
    <n v="6903"/>
    <d v="2019-05-30T00:00:00"/>
    <x v="0"/>
    <m/>
    <m/>
    <m/>
    <n v="1900001404"/>
    <d v="2019-07-31T00:00:00"/>
    <x v="5"/>
    <m/>
    <x v="0"/>
    <x v="0"/>
    <m/>
    <x v="0"/>
    <m/>
    <m/>
    <m/>
    <x v="0"/>
    <x v="0"/>
    <x v="0"/>
    <x v="0"/>
    <m/>
  </r>
  <r>
    <s v="P"/>
    <x v="63"/>
    <x v="2"/>
    <m/>
    <m/>
    <x v="5"/>
    <m/>
    <x v="10"/>
    <s v="Ahmedabad"/>
    <x v="1"/>
    <x v="0"/>
    <n v="90663"/>
    <d v="2019-04-01T00:00:00"/>
    <x v="0"/>
    <m/>
    <m/>
    <m/>
    <n v="1900001405"/>
    <d v="2019-07-31T00:00:00"/>
    <x v="6"/>
    <m/>
    <x v="0"/>
    <x v="0"/>
    <m/>
    <x v="0"/>
    <m/>
    <m/>
    <m/>
    <x v="0"/>
    <x v="0"/>
    <x v="0"/>
    <x v="0"/>
    <m/>
  </r>
  <r>
    <s v="T"/>
    <x v="64"/>
    <x v="2"/>
    <m/>
    <m/>
    <x v="5"/>
    <m/>
    <x v="10"/>
    <s v="Ahmedabad"/>
    <x v="2"/>
    <x v="0"/>
    <n v="156000"/>
    <d v="2019-01-04T00:00:00"/>
    <x v="0"/>
    <m/>
    <m/>
    <m/>
    <n v="1900001583"/>
    <d v="2019-08-14T00:00:00"/>
    <x v="5"/>
    <m/>
    <x v="0"/>
    <x v="0"/>
    <m/>
    <x v="0"/>
    <m/>
    <m/>
    <m/>
    <x v="0"/>
    <x v="0"/>
    <x v="0"/>
    <x v="0"/>
    <m/>
  </r>
  <r>
    <s v="V"/>
    <x v="65"/>
    <x v="2"/>
    <m/>
    <m/>
    <x v="5"/>
    <m/>
    <x v="11"/>
    <s v="Ahmedabad"/>
    <x v="5"/>
    <x v="2"/>
    <n v="21157"/>
    <d v="2019-01-01T00:00:00"/>
    <x v="0"/>
    <m/>
    <m/>
    <m/>
    <n v="1900001602"/>
    <d v="2019-08-17T00:00:00"/>
    <x v="3"/>
    <m/>
    <x v="0"/>
    <x v="0"/>
    <m/>
    <x v="0"/>
    <m/>
    <m/>
    <m/>
    <x v="0"/>
    <x v="0"/>
    <x v="0"/>
    <x v="0"/>
    <m/>
  </r>
  <r>
    <s v="C"/>
    <x v="66"/>
    <x v="2"/>
    <m/>
    <m/>
    <x v="5"/>
    <m/>
    <x v="11"/>
    <s v="Ahmedabad"/>
    <x v="5"/>
    <x v="2"/>
    <n v="77787"/>
    <d v="2019-01-01T00:00:00"/>
    <x v="0"/>
    <m/>
    <m/>
    <m/>
    <n v="1900001603"/>
    <d v="2019-08-17T00:00:00"/>
    <x v="3"/>
    <m/>
    <x v="0"/>
    <x v="0"/>
    <m/>
    <x v="0"/>
    <m/>
    <m/>
    <m/>
    <x v="0"/>
    <x v="0"/>
    <x v="0"/>
    <x v="0"/>
    <m/>
  </r>
  <r>
    <s v="M"/>
    <x v="67"/>
    <x v="2"/>
    <m/>
    <m/>
    <x v="5"/>
    <m/>
    <x v="11"/>
    <s v="Ahmedabad"/>
    <x v="5"/>
    <x v="2"/>
    <n v="8468"/>
    <d v="2019-02-18T00:00:00"/>
    <x v="0"/>
    <m/>
    <m/>
    <m/>
    <n v="1900001604"/>
    <d v="2019-08-17T00:00:00"/>
    <x v="3"/>
    <m/>
    <x v="0"/>
    <x v="0"/>
    <m/>
    <x v="0"/>
    <m/>
    <m/>
    <m/>
    <x v="0"/>
    <x v="0"/>
    <x v="0"/>
    <x v="0"/>
    <m/>
  </r>
  <r>
    <s v="A"/>
    <x v="3"/>
    <x v="2"/>
    <m/>
    <m/>
    <x v="5"/>
    <m/>
    <x v="10"/>
    <s v="Ahmedabad"/>
    <x v="2"/>
    <x v="0"/>
    <n v="1825"/>
    <d v="2019-02-01T00:00:00"/>
    <x v="0"/>
    <m/>
    <m/>
    <m/>
    <n v="1900001605"/>
    <d v="2019-08-17T00:00:00"/>
    <x v="5"/>
    <m/>
    <x v="0"/>
    <x v="0"/>
    <m/>
    <x v="0"/>
    <m/>
    <m/>
    <m/>
    <x v="0"/>
    <x v="0"/>
    <x v="0"/>
    <x v="0"/>
    <m/>
  </r>
  <r>
    <s v="W"/>
    <x v="62"/>
    <x v="2"/>
    <m/>
    <m/>
    <x v="5"/>
    <m/>
    <x v="10"/>
    <s v="Ahmedabad"/>
    <x v="2"/>
    <x v="0"/>
    <n v="329250"/>
    <d v="2019-02-28T00:00:00"/>
    <x v="0"/>
    <m/>
    <m/>
    <m/>
    <n v="1900001606"/>
    <d v="2019-08-17T00:00:00"/>
    <x v="5"/>
    <m/>
    <x v="0"/>
    <x v="0"/>
    <m/>
    <x v="0"/>
    <m/>
    <m/>
    <m/>
    <x v="0"/>
    <x v="0"/>
    <x v="0"/>
    <x v="0"/>
    <m/>
  </r>
  <r>
    <s v="M"/>
    <x v="68"/>
    <x v="2"/>
    <m/>
    <m/>
    <x v="5"/>
    <m/>
    <x v="10"/>
    <s v="Ahmedabad"/>
    <x v="5"/>
    <x v="0"/>
    <n v="344794"/>
    <d v="2019-04-01T00:00:00"/>
    <x v="0"/>
    <m/>
    <m/>
    <m/>
    <n v="1900001607"/>
    <d v="2019-08-17T00:00:00"/>
    <x v="2"/>
    <m/>
    <x v="0"/>
    <x v="0"/>
    <m/>
    <x v="0"/>
    <m/>
    <m/>
    <m/>
    <x v="0"/>
    <x v="0"/>
    <x v="0"/>
    <x v="0"/>
    <m/>
  </r>
  <r>
    <s v="M"/>
    <x v="69"/>
    <x v="2"/>
    <m/>
    <m/>
    <x v="5"/>
    <m/>
    <x v="10"/>
    <s v="Ahmedabad"/>
    <x v="5"/>
    <x v="0"/>
    <n v="37500"/>
    <d v="2019-04-01T00:00:00"/>
    <x v="0"/>
    <m/>
    <m/>
    <m/>
    <n v="1900001608"/>
    <d v="2019-08-17T00:00:00"/>
    <x v="2"/>
    <m/>
    <x v="0"/>
    <x v="0"/>
    <m/>
    <x v="0"/>
    <m/>
    <m/>
    <m/>
    <x v="0"/>
    <x v="0"/>
    <x v="0"/>
    <x v="0"/>
    <m/>
  </r>
  <r>
    <s v="S"/>
    <x v="54"/>
    <x v="2"/>
    <m/>
    <m/>
    <x v="5"/>
    <m/>
    <x v="10"/>
    <s v="Ahmedabad"/>
    <x v="2"/>
    <x v="0"/>
    <n v="49789"/>
    <d v="2019-01-01T00:00:00"/>
    <x v="0"/>
    <m/>
    <m/>
    <m/>
    <n v="1900001609"/>
    <d v="2019-08-17T00:00:00"/>
    <x v="5"/>
    <m/>
    <x v="0"/>
    <x v="0"/>
    <m/>
    <x v="0"/>
    <m/>
    <m/>
    <m/>
    <x v="0"/>
    <x v="0"/>
    <x v="0"/>
    <x v="0"/>
    <m/>
  </r>
  <r>
    <s v="G"/>
    <x v="70"/>
    <x v="2"/>
    <m/>
    <m/>
    <x v="5"/>
    <m/>
    <x v="10"/>
    <s v="Ahmedabad"/>
    <x v="5"/>
    <x v="0"/>
    <n v="64"/>
    <d v="2019-03-16T00:00:00"/>
    <x v="0"/>
    <m/>
    <m/>
    <m/>
    <n v="1900001610"/>
    <d v="2019-08-17T00:00:00"/>
    <x v="2"/>
    <m/>
    <x v="0"/>
    <x v="0"/>
    <m/>
    <x v="0"/>
    <m/>
    <m/>
    <m/>
    <x v="0"/>
    <x v="0"/>
    <x v="0"/>
    <x v="0"/>
    <m/>
  </r>
  <r>
    <s v="I"/>
    <x v="71"/>
    <x v="2"/>
    <m/>
    <m/>
    <x v="5"/>
    <m/>
    <x v="10"/>
    <s v="Ahmedabad"/>
    <x v="5"/>
    <x v="0"/>
    <n v="6250"/>
    <d v="2019-02-24T00:00:00"/>
    <x v="0"/>
    <m/>
    <m/>
    <m/>
    <n v="1900001611"/>
    <d v="2019-08-17T00:00:00"/>
    <x v="2"/>
    <m/>
    <x v="0"/>
    <x v="0"/>
    <m/>
    <x v="0"/>
    <m/>
    <m/>
    <m/>
    <x v="0"/>
    <x v="0"/>
    <x v="0"/>
    <x v="0"/>
    <m/>
  </r>
  <r>
    <s v="T"/>
    <x v="72"/>
    <x v="2"/>
    <m/>
    <m/>
    <x v="5"/>
    <m/>
    <x v="10"/>
    <s v="Ahmedabad"/>
    <x v="7"/>
    <x v="0"/>
    <n v="124875"/>
    <d v="2019-03-07T00:00:00"/>
    <x v="0"/>
    <m/>
    <m/>
    <m/>
    <n v="1900002041"/>
    <d v="2019-08-28T00:00:00"/>
    <x v="9"/>
    <m/>
    <x v="0"/>
    <x v="0"/>
    <m/>
    <x v="0"/>
    <m/>
    <m/>
    <m/>
    <x v="0"/>
    <x v="0"/>
    <x v="0"/>
    <x v="0"/>
    <m/>
  </r>
  <r>
    <s v="S"/>
    <x v="73"/>
    <x v="2"/>
    <m/>
    <m/>
    <x v="5"/>
    <m/>
    <x v="14"/>
    <s v="Ahmedabad"/>
    <x v="3"/>
    <x v="2"/>
    <n v="7783"/>
    <d v="2019-06-11T00:00:00"/>
    <x v="0"/>
    <m/>
    <m/>
    <m/>
    <n v="1900002042"/>
    <d v="2019-08-28T00:00:00"/>
    <x v="8"/>
    <m/>
    <x v="0"/>
    <x v="0"/>
    <m/>
    <x v="0"/>
    <m/>
    <m/>
    <m/>
    <x v="0"/>
    <x v="0"/>
    <x v="0"/>
    <x v="0"/>
    <m/>
  </r>
  <r>
    <s v="S"/>
    <x v="74"/>
    <x v="2"/>
    <m/>
    <m/>
    <x v="5"/>
    <m/>
    <x v="14"/>
    <s v="Ahmedabad"/>
    <x v="3"/>
    <x v="2"/>
    <n v="7835"/>
    <d v="2019-06-10T00:00:00"/>
    <x v="0"/>
    <m/>
    <m/>
    <m/>
    <n v="1900002043"/>
    <d v="2019-08-28T00:00:00"/>
    <x v="8"/>
    <m/>
    <x v="0"/>
    <x v="0"/>
    <m/>
    <x v="0"/>
    <m/>
    <m/>
    <m/>
    <x v="0"/>
    <x v="0"/>
    <x v="0"/>
    <x v="0"/>
    <m/>
  </r>
  <r>
    <s v="F"/>
    <x v="75"/>
    <x v="2"/>
    <m/>
    <m/>
    <x v="5"/>
    <m/>
    <x v="10"/>
    <s v="Ahmedabad"/>
    <x v="3"/>
    <x v="1"/>
    <n v="70125"/>
    <d v="2019-03-19T00:00:00"/>
    <x v="0"/>
    <m/>
    <m/>
    <m/>
    <n v="1900002044"/>
    <d v="2019-08-28T00:00:00"/>
    <x v="4"/>
    <m/>
    <x v="0"/>
    <x v="0"/>
    <m/>
    <x v="0"/>
    <m/>
    <m/>
    <m/>
    <x v="0"/>
    <x v="0"/>
    <x v="0"/>
    <x v="0"/>
    <m/>
  </r>
  <r>
    <s v="F"/>
    <x v="76"/>
    <x v="2"/>
    <m/>
    <m/>
    <x v="5"/>
    <m/>
    <x v="10"/>
    <s v="Ahmedabad"/>
    <x v="3"/>
    <x v="1"/>
    <n v="70125"/>
    <d v="2019-03-19T00:00:00"/>
    <x v="0"/>
    <m/>
    <m/>
    <m/>
    <n v="1900002045"/>
    <d v="2019-08-28T00:00:00"/>
    <x v="4"/>
    <m/>
    <x v="0"/>
    <x v="0"/>
    <m/>
    <x v="0"/>
    <m/>
    <m/>
    <m/>
    <x v="0"/>
    <x v="0"/>
    <x v="0"/>
    <x v="0"/>
    <m/>
  </r>
  <r>
    <s v="P"/>
    <x v="77"/>
    <x v="2"/>
    <m/>
    <m/>
    <x v="5"/>
    <m/>
    <x v="10"/>
    <s v="Ahmedabad"/>
    <x v="6"/>
    <x v="0"/>
    <n v="60229"/>
    <d v="2019-04-01T00:00:00"/>
    <x v="0"/>
    <m/>
    <m/>
    <m/>
    <n v="1900002046"/>
    <d v="2019-08-28T00:00:00"/>
    <x v="6"/>
    <m/>
    <x v="0"/>
    <x v="0"/>
    <m/>
    <x v="0"/>
    <m/>
    <m/>
    <m/>
    <x v="0"/>
    <x v="0"/>
    <x v="0"/>
    <x v="0"/>
    <m/>
  </r>
  <r>
    <s v="P"/>
    <x v="78"/>
    <x v="2"/>
    <m/>
    <m/>
    <x v="5"/>
    <m/>
    <x v="10"/>
    <s v="Ahmedabad"/>
    <x v="6"/>
    <x v="0"/>
    <n v="98931"/>
    <d v="2019-01-16T00:00:00"/>
    <x v="0"/>
    <m/>
    <m/>
    <m/>
    <n v="1900002047"/>
    <d v="2019-08-28T00:00:00"/>
    <x v="6"/>
    <m/>
    <x v="0"/>
    <x v="0"/>
    <m/>
    <x v="0"/>
    <m/>
    <m/>
    <m/>
    <x v="0"/>
    <x v="0"/>
    <x v="0"/>
    <x v="0"/>
    <m/>
  </r>
  <r>
    <s v="A"/>
    <x v="79"/>
    <x v="2"/>
    <m/>
    <m/>
    <x v="5"/>
    <m/>
    <x v="11"/>
    <s v="Ahmedabad"/>
    <x v="5"/>
    <x v="2"/>
    <n v="21769"/>
    <d v="2019-01-01T00:00:00"/>
    <x v="0"/>
    <m/>
    <m/>
    <m/>
    <n v="1900002048"/>
    <d v="2019-08-28T00:00:00"/>
    <x v="3"/>
    <m/>
    <x v="0"/>
    <x v="0"/>
    <m/>
    <x v="0"/>
    <m/>
    <m/>
    <m/>
    <x v="0"/>
    <x v="0"/>
    <x v="0"/>
    <x v="0"/>
    <m/>
  </r>
  <r>
    <s v="G"/>
    <x v="80"/>
    <x v="2"/>
    <m/>
    <m/>
    <x v="5"/>
    <m/>
    <x v="10"/>
    <s v="Ahmedabad"/>
    <x v="5"/>
    <x v="0"/>
    <n v="65369"/>
    <d v="2019-04-17T00:00:00"/>
    <x v="0"/>
    <m/>
    <m/>
    <m/>
    <n v="1900002049"/>
    <d v="2019-08-28T00:00:00"/>
    <x v="2"/>
    <m/>
    <x v="0"/>
    <x v="0"/>
    <m/>
    <x v="0"/>
    <m/>
    <m/>
    <m/>
    <x v="0"/>
    <x v="0"/>
    <x v="0"/>
    <x v="0"/>
    <m/>
  </r>
  <r>
    <s v="D"/>
    <x v="81"/>
    <x v="2"/>
    <m/>
    <m/>
    <x v="5"/>
    <m/>
    <x v="10"/>
    <s v="Ahmedabad"/>
    <x v="5"/>
    <x v="0"/>
    <n v="5206"/>
    <d v="2019-04-01T00:00:00"/>
    <x v="0"/>
    <m/>
    <m/>
    <m/>
    <n v="1900002050"/>
    <d v="2019-08-28T00:00:00"/>
    <x v="2"/>
    <m/>
    <x v="0"/>
    <x v="0"/>
    <m/>
    <x v="0"/>
    <m/>
    <m/>
    <m/>
    <x v="0"/>
    <x v="0"/>
    <x v="0"/>
    <x v="0"/>
    <m/>
  </r>
  <r>
    <s v="N"/>
    <x v="82"/>
    <x v="2"/>
    <m/>
    <m/>
    <x v="5"/>
    <m/>
    <x v="10"/>
    <s v="Ahmedabad"/>
    <x v="5"/>
    <x v="0"/>
    <n v="23750"/>
    <d v="2019-03-09T00:00:00"/>
    <x v="0"/>
    <m/>
    <m/>
    <m/>
    <n v="1900002051"/>
    <d v="2019-08-28T00:00:00"/>
    <x v="2"/>
    <m/>
    <x v="0"/>
    <x v="0"/>
    <m/>
    <x v="0"/>
    <m/>
    <m/>
    <m/>
    <x v="0"/>
    <x v="0"/>
    <x v="0"/>
    <x v="0"/>
    <m/>
  </r>
  <r>
    <s v="G"/>
    <x v="83"/>
    <x v="2"/>
    <m/>
    <m/>
    <x v="5"/>
    <m/>
    <x v="10"/>
    <s v="Ahmedabad"/>
    <x v="5"/>
    <x v="0"/>
    <n v="1557"/>
    <d v="2019-04-16T00:00:00"/>
    <x v="0"/>
    <m/>
    <m/>
    <m/>
    <n v="1900002052"/>
    <d v="2019-08-28T00:00:00"/>
    <x v="2"/>
    <m/>
    <x v="0"/>
    <x v="0"/>
    <m/>
    <x v="0"/>
    <m/>
    <m/>
    <m/>
    <x v="0"/>
    <x v="0"/>
    <x v="0"/>
    <x v="0"/>
    <m/>
  </r>
  <r>
    <s v="P"/>
    <x v="84"/>
    <x v="2"/>
    <m/>
    <m/>
    <x v="5"/>
    <m/>
    <x v="12"/>
    <s v="Ahmedabad"/>
    <x v="1"/>
    <x v="2"/>
    <n v="40960"/>
    <d v="2019-04-20T00:00:00"/>
    <x v="0"/>
    <m/>
    <m/>
    <m/>
    <n v="1900002072"/>
    <d v="2019-08-28T00:00:00"/>
    <x v="6"/>
    <m/>
    <x v="0"/>
    <x v="0"/>
    <m/>
    <x v="0"/>
    <m/>
    <m/>
    <m/>
    <x v="0"/>
    <x v="0"/>
    <x v="0"/>
    <x v="0"/>
    <m/>
  </r>
  <r>
    <s v="P"/>
    <x v="85"/>
    <x v="2"/>
    <m/>
    <m/>
    <x v="5"/>
    <m/>
    <x v="10"/>
    <s v="Ahmedabad"/>
    <x v="1"/>
    <x v="0"/>
    <n v="12055"/>
    <d v="2019-02-14T00:00:00"/>
    <x v="0"/>
    <m/>
    <m/>
    <m/>
    <n v="1900002229"/>
    <d v="2019-08-31T00:00:00"/>
    <x v="6"/>
    <m/>
    <x v="0"/>
    <x v="0"/>
    <m/>
    <x v="0"/>
    <m/>
    <m/>
    <m/>
    <x v="0"/>
    <x v="0"/>
    <x v="0"/>
    <x v="0"/>
    <m/>
  </r>
  <r>
    <s v="P"/>
    <x v="86"/>
    <x v="2"/>
    <m/>
    <m/>
    <x v="5"/>
    <m/>
    <x v="10"/>
    <s v="Ahmedabad"/>
    <x v="6"/>
    <x v="0"/>
    <n v="131090"/>
    <d v="2019-02-26T00:00:00"/>
    <x v="0"/>
    <m/>
    <m/>
    <m/>
    <n v="1900002230"/>
    <d v="2019-08-31T00:00:00"/>
    <x v="6"/>
    <m/>
    <x v="0"/>
    <x v="0"/>
    <m/>
    <x v="0"/>
    <m/>
    <m/>
    <m/>
    <x v="0"/>
    <x v="0"/>
    <x v="0"/>
    <x v="0"/>
    <m/>
  </r>
  <r>
    <s v="P"/>
    <x v="87"/>
    <x v="2"/>
    <m/>
    <m/>
    <x v="5"/>
    <m/>
    <x v="10"/>
    <s v="Ahmedabad"/>
    <x v="1"/>
    <x v="0"/>
    <n v="27069"/>
    <d v="2019-02-14T00:00:00"/>
    <x v="0"/>
    <m/>
    <m/>
    <m/>
    <n v="1900002232"/>
    <d v="2019-08-31T00:00:00"/>
    <x v="6"/>
    <m/>
    <x v="0"/>
    <x v="0"/>
    <m/>
    <x v="0"/>
    <m/>
    <m/>
    <m/>
    <x v="0"/>
    <x v="0"/>
    <x v="0"/>
    <x v="0"/>
    <m/>
  </r>
  <r>
    <s v="M"/>
    <x v="88"/>
    <x v="2"/>
    <m/>
    <m/>
    <x v="5"/>
    <m/>
    <x v="10"/>
    <s v="Ahmedabad"/>
    <x v="5"/>
    <x v="0"/>
    <n v="215165"/>
    <d v="2019-04-01T00:00:00"/>
    <x v="0"/>
    <m/>
    <m/>
    <m/>
    <n v="1900002265"/>
    <d v="2019-08-31T00:00:00"/>
    <x v="2"/>
    <m/>
    <x v="0"/>
    <x v="0"/>
    <m/>
    <x v="0"/>
    <m/>
    <m/>
    <m/>
    <x v="0"/>
    <x v="0"/>
    <x v="0"/>
    <x v="0"/>
    <m/>
  </r>
  <r>
    <s v="P"/>
    <x v="89"/>
    <x v="2"/>
    <m/>
    <m/>
    <x v="5"/>
    <m/>
    <x v="10"/>
    <s v="Ahmedabad"/>
    <x v="5"/>
    <x v="0"/>
    <n v="870"/>
    <d v="2019-05-26T00:00:00"/>
    <x v="0"/>
    <m/>
    <m/>
    <m/>
    <n v="1900002331"/>
    <d v="2019-09-03T00:00:00"/>
    <x v="2"/>
    <m/>
    <x v="0"/>
    <x v="0"/>
    <m/>
    <x v="0"/>
    <m/>
    <m/>
    <m/>
    <x v="0"/>
    <x v="0"/>
    <x v="0"/>
    <x v="0"/>
    <m/>
  </r>
  <r>
    <s v="M"/>
    <x v="90"/>
    <x v="2"/>
    <m/>
    <m/>
    <x v="5"/>
    <m/>
    <x v="10"/>
    <s v="Ahmedabad"/>
    <x v="7"/>
    <x v="3"/>
    <n v="8174"/>
    <d v="2019-07-18T00:00:00"/>
    <x v="0"/>
    <m/>
    <m/>
    <m/>
    <n v="1900002384"/>
    <d v="2019-09-05T00:00:00"/>
    <x v="9"/>
    <m/>
    <x v="0"/>
    <x v="0"/>
    <m/>
    <x v="0"/>
    <m/>
    <m/>
    <m/>
    <x v="0"/>
    <x v="0"/>
    <x v="0"/>
    <x v="0"/>
    <m/>
  </r>
  <r>
    <s v="S"/>
    <x v="91"/>
    <x v="2"/>
    <m/>
    <m/>
    <x v="5"/>
    <m/>
    <x v="10"/>
    <s v="Ahmedabad"/>
    <x v="2"/>
    <x v="0"/>
    <n v="22246"/>
    <d v="2019-07-14T00:00:00"/>
    <x v="0"/>
    <m/>
    <m/>
    <m/>
    <n v="1900002387"/>
    <d v="2019-09-05T00:00:00"/>
    <x v="5"/>
    <m/>
    <x v="0"/>
    <x v="0"/>
    <m/>
    <x v="0"/>
    <m/>
    <m/>
    <m/>
    <x v="0"/>
    <x v="0"/>
    <x v="0"/>
    <x v="0"/>
    <m/>
  </r>
  <r>
    <s v="P"/>
    <x v="92"/>
    <x v="2"/>
    <m/>
    <m/>
    <x v="5"/>
    <m/>
    <x v="10"/>
    <s v="Ahmedabad"/>
    <x v="3"/>
    <x v="1"/>
    <n v="7451"/>
    <d v="2019-04-22T00:00:00"/>
    <x v="0"/>
    <m/>
    <m/>
    <m/>
    <n v="1900002458"/>
    <d v="2019-09-09T00:00:00"/>
    <x v="4"/>
    <m/>
    <x v="0"/>
    <x v="0"/>
    <m/>
    <x v="0"/>
    <m/>
    <m/>
    <m/>
    <x v="0"/>
    <x v="0"/>
    <x v="0"/>
    <x v="0"/>
    <m/>
  </r>
  <r>
    <s v="W"/>
    <x v="62"/>
    <x v="2"/>
    <m/>
    <m/>
    <x v="5"/>
    <m/>
    <x v="10"/>
    <s v="Ahmedabad"/>
    <x v="2"/>
    <x v="3"/>
    <n v="7110"/>
    <d v="2019-07-29T00:00:00"/>
    <x v="0"/>
    <m/>
    <m/>
    <m/>
    <n v="1900002464"/>
    <d v="2019-09-09T00:00:00"/>
    <x v="5"/>
    <m/>
    <x v="0"/>
    <x v="0"/>
    <m/>
    <x v="0"/>
    <m/>
    <m/>
    <m/>
    <x v="0"/>
    <x v="0"/>
    <x v="0"/>
    <x v="0"/>
    <m/>
  </r>
  <r>
    <s v="P"/>
    <x v="93"/>
    <x v="2"/>
    <m/>
    <m/>
    <x v="5"/>
    <m/>
    <x v="10"/>
    <s v="Ahmedabad"/>
    <x v="5"/>
    <x v="0"/>
    <n v="692"/>
    <d v="2019-05-15T00:00:00"/>
    <x v="0"/>
    <m/>
    <m/>
    <m/>
    <n v="1900002472"/>
    <d v="2019-09-09T00:00:00"/>
    <x v="2"/>
    <m/>
    <x v="0"/>
    <x v="0"/>
    <m/>
    <x v="0"/>
    <m/>
    <m/>
    <m/>
    <x v="0"/>
    <x v="0"/>
    <x v="0"/>
    <x v="0"/>
    <m/>
  </r>
  <r>
    <s v="P"/>
    <x v="94"/>
    <x v="2"/>
    <m/>
    <m/>
    <x v="5"/>
    <m/>
    <x v="10"/>
    <s v="Ahmedabad"/>
    <x v="7"/>
    <x v="0"/>
    <n v="65051"/>
    <d v="2019-01-01T00:00:00"/>
    <x v="0"/>
    <m/>
    <m/>
    <m/>
    <n v="1900002635"/>
    <d v="2019-09-17T00:00:00"/>
    <x v="9"/>
    <m/>
    <x v="0"/>
    <x v="0"/>
    <m/>
    <x v="0"/>
    <m/>
    <m/>
    <m/>
    <x v="0"/>
    <x v="0"/>
    <x v="0"/>
    <x v="0"/>
    <m/>
  </r>
  <r>
    <s v="M"/>
    <x v="95"/>
    <x v="2"/>
    <m/>
    <m/>
    <x v="5"/>
    <m/>
    <x v="10"/>
    <s v="Ahmedabad"/>
    <x v="5"/>
    <x v="0"/>
    <n v="1005"/>
    <d v="2019-05-01T00:00:00"/>
    <x v="0"/>
    <m/>
    <m/>
    <m/>
    <n v="1900002636"/>
    <d v="2019-09-17T00:00:00"/>
    <x v="2"/>
    <m/>
    <x v="0"/>
    <x v="0"/>
    <m/>
    <x v="0"/>
    <m/>
    <m/>
    <m/>
    <x v="0"/>
    <x v="0"/>
    <x v="0"/>
    <x v="0"/>
    <m/>
  </r>
  <r>
    <s v="W"/>
    <x v="62"/>
    <x v="2"/>
    <m/>
    <m/>
    <x v="5"/>
    <m/>
    <x v="10"/>
    <s v="Ahmedabad"/>
    <x v="2"/>
    <x v="3"/>
    <n v="6259"/>
    <d v="2019-06-21T00:00:00"/>
    <x v="0"/>
    <m/>
    <m/>
    <m/>
    <n v="1900002637"/>
    <d v="2019-09-17T00:00:00"/>
    <x v="5"/>
    <m/>
    <x v="0"/>
    <x v="0"/>
    <m/>
    <x v="0"/>
    <m/>
    <m/>
    <m/>
    <x v="0"/>
    <x v="0"/>
    <x v="0"/>
    <x v="0"/>
    <m/>
  </r>
  <r>
    <s v="S"/>
    <x v="43"/>
    <x v="2"/>
    <m/>
    <m/>
    <x v="5"/>
    <m/>
    <x v="10"/>
    <s v="Ahmedabad"/>
    <x v="2"/>
    <x v="3"/>
    <n v="9941"/>
    <d v="2019-07-10T00:00:00"/>
    <x v="0"/>
    <m/>
    <m/>
    <m/>
    <n v="1900002638"/>
    <d v="2019-09-17T00:00:00"/>
    <x v="5"/>
    <m/>
    <x v="0"/>
    <x v="0"/>
    <m/>
    <x v="0"/>
    <m/>
    <m/>
    <m/>
    <x v="0"/>
    <x v="0"/>
    <x v="0"/>
    <x v="0"/>
    <m/>
  </r>
  <r>
    <s v="M"/>
    <x v="96"/>
    <x v="2"/>
    <m/>
    <m/>
    <x v="5"/>
    <m/>
    <x v="11"/>
    <s v="Ahmedabad"/>
    <x v="5"/>
    <x v="2"/>
    <n v="9990"/>
    <d v="2019-05-23T00:00:00"/>
    <x v="0"/>
    <m/>
    <m/>
    <m/>
    <n v="1900002639"/>
    <d v="2019-09-17T00:00:00"/>
    <x v="3"/>
    <m/>
    <x v="0"/>
    <x v="0"/>
    <m/>
    <x v="0"/>
    <m/>
    <m/>
    <m/>
    <x v="0"/>
    <x v="0"/>
    <x v="0"/>
    <x v="0"/>
    <m/>
  </r>
  <r>
    <s v="B"/>
    <x v="97"/>
    <x v="2"/>
    <m/>
    <m/>
    <x v="5"/>
    <m/>
    <x v="10"/>
    <s v="Ahmedabad"/>
    <x v="2"/>
    <x v="0"/>
    <n v="74673"/>
    <d v="2019-06-29T00:00:00"/>
    <x v="0"/>
    <m/>
    <m/>
    <m/>
    <n v="1900002640"/>
    <d v="2019-09-17T00:00:00"/>
    <x v="5"/>
    <m/>
    <x v="0"/>
    <x v="0"/>
    <m/>
    <x v="0"/>
    <m/>
    <m/>
    <m/>
    <x v="0"/>
    <x v="0"/>
    <x v="0"/>
    <x v="0"/>
    <m/>
  </r>
  <r>
    <s v="G"/>
    <x v="98"/>
    <x v="2"/>
    <m/>
    <m/>
    <x v="5"/>
    <m/>
    <x v="10"/>
    <s v="Ahmedabad"/>
    <x v="5"/>
    <x v="0"/>
    <n v="4362"/>
    <d v="2019-04-02T00:00:00"/>
    <x v="0"/>
    <m/>
    <m/>
    <m/>
    <n v="1900002880"/>
    <d v="2019-09-20T00:00:00"/>
    <x v="2"/>
    <m/>
    <x v="0"/>
    <x v="0"/>
    <m/>
    <x v="0"/>
    <m/>
    <m/>
    <m/>
    <x v="0"/>
    <x v="0"/>
    <x v="0"/>
    <x v="0"/>
    <m/>
  </r>
  <r>
    <s v="P"/>
    <x v="99"/>
    <x v="2"/>
    <m/>
    <m/>
    <x v="5"/>
    <m/>
    <x v="10"/>
    <s v="Ahmedabad"/>
    <x v="6"/>
    <x v="0"/>
    <n v="1610"/>
    <d v="2019-02-14T00:00:00"/>
    <x v="0"/>
    <m/>
    <m/>
    <m/>
    <n v="1900003129"/>
    <d v="2019-09-30T00:00:00"/>
    <x v="6"/>
    <m/>
    <x v="0"/>
    <x v="0"/>
    <m/>
    <x v="0"/>
    <m/>
    <m/>
    <m/>
    <x v="0"/>
    <x v="0"/>
    <x v="0"/>
    <x v="0"/>
    <m/>
  </r>
  <r>
    <s v="M"/>
    <x v="100"/>
    <x v="2"/>
    <m/>
    <m/>
    <x v="5"/>
    <m/>
    <x v="10"/>
    <s v="Ahmedabad"/>
    <x v="5"/>
    <x v="0"/>
    <n v="20166"/>
    <d v="2019-07-01T00:00:00"/>
    <x v="0"/>
    <m/>
    <m/>
    <m/>
    <n v="1900003131"/>
    <d v="2019-09-30T00:00:00"/>
    <x v="2"/>
    <m/>
    <x v="0"/>
    <x v="0"/>
    <m/>
    <x v="0"/>
    <m/>
    <m/>
    <m/>
    <x v="0"/>
    <x v="0"/>
    <x v="0"/>
    <x v="0"/>
    <m/>
  </r>
  <r>
    <s v="B"/>
    <x v="101"/>
    <x v="2"/>
    <m/>
    <m/>
    <x v="5"/>
    <m/>
    <x v="10"/>
    <s v="Ahmedabad"/>
    <x v="2"/>
    <x v="0"/>
    <n v="8605"/>
    <d v="2019-06-29T00:00:00"/>
    <x v="0"/>
    <m/>
    <m/>
    <m/>
    <n v="1900003209"/>
    <d v="2019-10-10T00:00:00"/>
    <x v="5"/>
    <m/>
    <x v="0"/>
    <x v="0"/>
    <m/>
    <x v="0"/>
    <m/>
    <m/>
    <m/>
    <x v="0"/>
    <x v="0"/>
    <x v="0"/>
    <x v="0"/>
    <m/>
  </r>
  <r>
    <s v="F"/>
    <x v="102"/>
    <x v="2"/>
    <m/>
    <m/>
    <x v="5"/>
    <m/>
    <x v="10"/>
    <s v="Ahmedabad"/>
    <x v="2"/>
    <x v="0"/>
    <n v="52500"/>
    <d v="2019-05-17T00:00:00"/>
    <x v="0"/>
    <m/>
    <m/>
    <m/>
    <n v="1900003210"/>
    <d v="2019-10-10T00:00:00"/>
    <x v="5"/>
    <m/>
    <x v="0"/>
    <x v="0"/>
    <m/>
    <x v="0"/>
    <m/>
    <m/>
    <m/>
    <x v="0"/>
    <x v="0"/>
    <x v="0"/>
    <x v="0"/>
    <m/>
  </r>
  <r>
    <s v="P"/>
    <x v="103"/>
    <x v="2"/>
    <m/>
    <m/>
    <x v="5"/>
    <m/>
    <x v="12"/>
    <s v="Ahmedabad"/>
    <x v="3"/>
    <x v="2"/>
    <n v="21875"/>
    <d v="2019-02-01T00:00:00"/>
    <x v="0"/>
    <m/>
    <m/>
    <m/>
    <n v="1900003211"/>
    <d v="2019-10-10T00:00:00"/>
    <x v="6"/>
    <m/>
    <x v="0"/>
    <x v="0"/>
    <m/>
    <x v="0"/>
    <m/>
    <m/>
    <m/>
    <x v="0"/>
    <x v="0"/>
    <x v="0"/>
    <x v="0"/>
    <m/>
  </r>
  <r>
    <s v="S"/>
    <x v="43"/>
    <x v="2"/>
    <m/>
    <m/>
    <x v="5"/>
    <m/>
    <x v="10"/>
    <s v="Ahmedabad"/>
    <x v="2"/>
    <x v="3"/>
    <n v="93906"/>
    <d v="2019-03-07T00:00:00"/>
    <x v="0"/>
    <m/>
    <m/>
    <m/>
    <n v="1900003212"/>
    <d v="2019-10-10T00:00:00"/>
    <x v="5"/>
    <m/>
    <x v="0"/>
    <x v="0"/>
    <m/>
    <x v="0"/>
    <m/>
    <m/>
    <m/>
    <x v="0"/>
    <x v="0"/>
    <x v="0"/>
    <x v="0"/>
    <m/>
  </r>
  <r>
    <s v="S"/>
    <x v="104"/>
    <x v="2"/>
    <m/>
    <m/>
    <x v="5"/>
    <m/>
    <x v="10"/>
    <s v="Ahmedabad"/>
    <x v="2"/>
    <x v="0"/>
    <n v="23387"/>
    <d v="2019-01-01T00:00:00"/>
    <x v="0"/>
    <m/>
    <m/>
    <m/>
    <n v="1900003213"/>
    <d v="2019-10-10T00:00:00"/>
    <x v="5"/>
    <m/>
    <x v="0"/>
    <x v="0"/>
    <m/>
    <x v="0"/>
    <m/>
    <m/>
    <m/>
    <x v="0"/>
    <x v="0"/>
    <x v="0"/>
    <x v="0"/>
    <m/>
  </r>
  <r>
    <s v="S"/>
    <x v="105"/>
    <x v="2"/>
    <m/>
    <m/>
    <x v="5"/>
    <m/>
    <x v="10"/>
    <s v="Ahmedabad"/>
    <x v="2"/>
    <x v="0"/>
    <n v="3347"/>
    <d v="2019-04-01T00:00:00"/>
    <x v="0"/>
    <m/>
    <m/>
    <m/>
    <n v="1900003214"/>
    <d v="2019-10-10T00:00:00"/>
    <x v="5"/>
    <m/>
    <x v="0"/>
    <x v="0"/>
    <m/>
    <x v="0"/>
    <m/>
    <m/>
    <m/>
    <x v="0"/>
    <x v="0"/>
    <x v="0"/>
    <x v="0"/>
    <m/>
  </r>
  <r>
    <s v="L"/>
    <x v="106"/>
    <x v="2"/>
    <m/>
    <m/>
    <x v="5"/>
    <m/>
    <x v="13"/>
    <s v="Ahmedabad"/>
    <x v="3"/>
    <x v="2"/>
    <n v="60025"/>
    <d v="2019-07-08T00:00:00"/>
    <x v="0"/>
    <m/>
    <m/>
    <m/>
    <n v="1900003404"/>
    <d v="2019-10-17T00:00:00"/>
    <x v="7"/>
    <m/>
    <x v="0"/>
    <x v="0"/>
    <m/>
    <x v="0"/>
    <m/>
    <m/>
    <m/>
    <x v="0"/>
    <x v="0"/>
    <x v="0"/>
    <x v="0"/>
    <m/>
  </r>
  <r>
    <s v="E"/>
    <x v="107"/>
    <x v="2"/>
    <m/>
    <m/>
    <x v="5"/>
    <m/>
    <x v="10"/>
    <s v="Ahmedabad"/>
    <x v="0"/>
    <x v="0"/>
    <n v="13613"/>
    <d v="2019-01-07T00:00:00"/>
    <x v="0"/>
    <m/>
    <m/>
    <m/>
    <n v="1900003405"/>
    <d v="2019-10-17T00:00:00"/>
    <x v="6"/>
    <m/>
    <x v="0"/>
    <x v="0"/>
    <m/>
    <x v="0"/>
    <m/>
    <m/>
    <m/>
    <x v="0"/>
    <x v="0"/>
    <x v="0"/>
    <x v="0"/>
    <m/>
  </r>
  <r>
    <s v="A"/>
    <x v="4"/>
    <x v="2"/>
    <m/>
    <m/>
    <x v="5"/>
    <m/>
    <x v="10"/>
    <s v="Ahmedabad"/>
    <x v="2"/>
    <x v="1"/>
    <n v="79834"/>
    <d v="2019-06-25T00:00:00"/>
    <x v="0"/>
    <m/>
    <m/>
    <m/>
    <n v="1900003406"/>
    <d v="2019-10-17T00:00:00"/>
    <x v="10"/>
    <m/>
    <x v="0"/>
    <x v="0"/>
    <m/>
    <x v="0"/>
    <m/>
    <m/>
    <m/>
    <x v="0"/>
    <x v="0"/>
    <x v="0"/>
    <x v="0"/>
    <m/>
  </r>
  <r>
    <s v="L"/>
    <x v="108"/>
    <x v="2"/>
    <m/>
    <m/>
    <x v="5"/>
    <m/>
    <x v="13"/>
    <s v="Ahmedabad"/>
    <x v="3"/>
    <x v="2"/>
    <n v="60025"/>
    <d v="2019-07-08T00:00:00"/>
    <x v="0"/>
    <m/>
    <m/>
    <m/>
    <n v="1900003407"/>
    <d v="2019-10-17T00:00:00"/>
    <x v="7"/>
    <m/>
    <x v="0"/>
    <x v="0"/>
    <m/>
    <x v="0"/>
    <m/>
    <m/>
    <m/>
    <x v="0"/>
    <x v="0"/>
    <x v="0"/>
    <x v="0"/>
    <m/>
  </r>
  <r>
    <s v="M"/>
    <x v="109"/>
    <x v="2"/>
    <m/>
    <m/>
    <x v="5"/>
    <m/>
    <x v="15"/>
    <s v="Ahmedabad"/>
    <x v="3"/>
    <x v="2"/>
    <n v="63000"/>
    <d v="2019-07-26T00:00:00"/>
    <x v="0"/>
    <m/>
    <m/>
    <m/>
    <n v="1900003928"/>
    <d v="2019-11-12T00:00:00"/>
    <x v="11"/>
    <m/>
    <x v="0"/>
    <x v="0"/>
    <m/>
    <x v="0"/>
    <m/>
    <m/>
    <m/>
    <x v="0"/>
    <x v="0"/>
    <x v="0"/>
    <x v="0"/>
    <m/>
  </r>
  <r>
    <s v="P"/>
    <x v="34"/>
    <x v="2"/>
    <m/>
    <m/>
    <x v="5"/>
    <m/>
    <x v="13"/>
    <s v="Ahmedabad"/>
    <x v="1"/>
    <x v="2"/>
    <n v="100000"/>
    <d v="2019-07-17T00:00:00"/>
    <x v="1"/>
    <m/>
    <m/>
    <m/>
    <n v="1900003930"/>
    <d v="2019-11-12T00:00:00"/>
    <x v="7"/>
    <m/>
    <x v="0"/>
    <x v="0"/>
    <m/>
    <x v="0"/>
    <m/>
    <m/>
    <m/>
    <x v="0"/>
    <x v="0"/>
    <x v="0"/>
    <x v="0"/>
    <m/>
  </r>
  <r>
    <s v="P"/>
    <x v="34"/>
    <x v="2"/>
    <m/>
    <m/>
    <x v="5"/>
    <m/>
    <x v="13"/>
    <s v="Ahmedabad"/>
    <x v="1"/>
    <x v="2"/>
    <n v="100000"/>
    <d v="2019-01-21T00:00:00"/>
    <x v="1"/>
    <m/>
    <m/>
    <m/>
    <n v="1900003931"/>
    <d v="2019-11-12T00:00:00"/>
    <x v="7"/>
    <m/>
    <x v="0"/>
    <x v="0"/>
    <m/>
    <x v="0"/>
    <m/>
    <m/>
    <m/>
    <x v="0"/>
    <x v="0"/>
    <x v="0"/>
    <x v="0"/>
    <m/>
  </r>
  <r>
    <s v="S"/>
    <x v="34"/>
    <x v="2"/>
    <m/>
    <m/>
    <x v="5"/>
    <m/>
    <x v="10"/>
    <s v="Ahmedabad"/>
    <x v="5"/>
    <x v="0"/>
    <n v="254336"/>
    <d v="2019-01-25T00:00:00"/>
    <x v="1"/>
    <m/>
    <m/>
    <m/>
    <n v="1900004171"/>
    <d v="2019-11-26T00:00:00"/>
    <x v="2"/>
    <m/>
    <x v="0"/>
    <x v="0"/>
    <m/>
    <x v="0"/>
    <m/>
    <m/>
    <m/>
    <x v="0"/>
    <x v="0"/>
    <x v="0"/>
    <x v="0"/>
    <m/>
  </r>
  <r>
    <s v="G"/>
    <x v="34"/>
    <x v="2"/>
    <m/>
    <m/>
    <x v="5"/>
    <m/>
    <x v="10"/>
    <s v="Ahmedabad"/>
    <x v="5"/>
    <x v="0"/>
    <n v="266949"/>
    <d v="2019-01-25T00:00:00"/>
    <x v="1"/>
    <m/>
    <m/>
    <m/>
    <n v="1900004173"/>
    <d v="2019-11-26T00:00:00"/>
    <x v="2"/>
    <m/>
    <x v="0"/>
    <x v="0"/>
    <m/>
    <x v="0"/>
    <m/>
    <m/>
    <m/>
    <x v="0"/>
    <x v="0"/>
    <x v="0"/>
    <x v="0"/>
    <m/>
  </r>
  <r>
    <s v="W"/>
    <x v="110"/>
    <x v="2"/>
    <m/>
    <m/>
    <x v="5"/>
    <m/>
    <x v="10"/>
    <s v="Ahmedabad"/>
    <x v="2"/>
    <x v="0"/>
    <n v="11111"/>
    <d v="2019-02-28T00:00:00"/>
    <x v="0"/>
    <m/>
    <m/>
    <m/>
    <n v="1900004220"/>
    <d v="2019-12-03T00:00:00"/>
    <x v="5"/>
    <m/>
    <x v="0"/>
    <x v="0"/>
    <m/>
    <x v="0"/>
    <m/>
    <m/>
    <m/>
    <x v="0"/>
    <x v="0"/>
    <x v="0"/>
    <x v="0"/>
    <m/>
  </r>
  <r>
    <s v="S"/>
    <x v="49"/>
    <x v="2"/>
    <m/>
    <m/>
    <x v="5"/>
    <m/>
    <x v="14"/>
    <s v="Ahmedabad"/>
    <x v="1"/>
    <x v="2"/>
    <n v="3008"/>
    <d v="2019-04-12T00:00:00"/>
    <x v="0"/>
    <m/>
    <m/>
    <m/>
    <n v="1900004221"/>
    <d v="2019-12-03T00:00:00"/>
    <x v="8"/>
    <m/>
    <x v="0"/>
    <x v="0"/>
    <m/>
    <x v="0"/>
    <m/>
    <m/>
    <m/>
    <x v="0"/>
    <x v="0"/>
    <x v="0"/>
    <x v="0"/>
    <m/>
  </r>
  <r>
    <s v="G"/>
    <x v="111"/>
    <x v="2"/>
    <m/>
    <m/>
    <x v="5"/>
    <m/>
    <x v="14"/>
    <s v="Ahmedabad"/>
    <x v="3"/>
    <x v="2"/>
    <n v="6184"/>
    <d v="2019-08-07T00:00:00"/>
    <x v="0"/>
    <m/>
    <m/>
    <m/>
    <n v="1900004376"/>
    <d v="2019-12-05T00:00:00"/>
    <x v="8"/>
    <m/>
    <x v="0"/>
    <x v="0"/>
    <m/>
    <x v="0"/>
    <m/>
    <m/>
    <m/>
    <x v="0"/>
    <x v="0"/>
    <x v="0"/>
    <x v="0"/>
    <m/>
  </r>
  <r>
    <s v="K"/>
    <x v="112"/>
    <x v="2"/>
    <m/>
    <m/>
    <x v="5"/>
    <m/>
    <x v="10"/>
    <s v="Ahmedabad"/>
    <x v="6"/>
    <x v="1"/>
    <n v="1568"/>
    <d v="2019-02-08T00:00:00"/>
    <x v="0"/>
    <m/>
    <m/>
    <m/>
    <n v="1900004378"/>
    <d v="2019-12-05T00:00:00"/>
    <x v="4"/>
    <m/>
    <x v="0"/>
    <x v="0"/>
    <m/>
    <x v="0"/>
    <m/>
    <m/>
    <m/>
    <x v="0"/>
    <x v="0"/>
    <x v="0"/>
    <x v="0"/>
    <m/>
  </r>
  <r>
    <s v="S"/>
    <x v="43"/>
    <x v="2"/>
    <m/>
    <m/>
    <x v="5"/>
    <m/>
    <x v="10"/>
    <s v="Ahmedabad"/>
    <x v="2"/>
    <x v="3"/>
    <n v="18901"/>
    <d v="2019-09-14T00:00:00"/>
    <x v="0"/>
    <m/>
    <m/>
    <m/>
    <n v="1900004380"/>
    <d v="2019-12-05T00:00:00"/>
    <x v="5"/>
    <m/>
    <x v="0"/>
    <x v="0"/>
    <m/>
    <x v="0"/>
    <m/>
    <m/>
    <m/>
    <x v="0"/>
    <x v="0"/>
    <x v="0"/>
    <x v="0"/>
    <m/>
  </r>
  <r>
    <s v="S"/>
    <x v="43"/>
    <x v="2"/>
    <m/>
    <m/>
    <x v="5"/>
    <m/>
    <x v="10"/>
    <s v="Ahmedabad"/>
    <x v="2"/>
    <x v="3"/>
    <n v="27682"/>
    <d v="2019-08-14T00:00:00"/>
    <x v="0"/>
    <m/>
    <m/>
    <m/>
    <n v="1900004382"/>
    <d v="2019-12-05T00:00:00"/>
    <x v="5"/>
    <m/>
    <x v="0"/>
    <x v="0"/>
    <m/>
    <x v="0"/>
    <m/>
    <m/>
    <m/>
    <x v="0"/>
    <x v="0"/>
    <x v="0"/>
    <x v="0"/>
    <m/>
  </r>
  <r>
    <s v="W"/>
    <x v="62"/>
    <x v="2"/>
    <m/>
    <m/>
    <x v="5"/>
    <m/>
    <x v="10"/>
    <s v="Ahmedabad"/>
    <x v="2"/>
    <x v="3"/>
    <n v="5501"/>
    <d v="2019-10-21T00:00:00"/>
    <x v="0"/>
    <m/>
    <m/>
    <m/>
    <n v="1900004383"/>
    <d v="2019-12-05T00:00:00"/>
    <x v="5"/>
    <m/>
    <x v="0"/>
    <x v="0"/>
    <m/>
    <x v="0"/>
    <m/>
    <m/>
    <m/>
    <x v="0"/>
    <x v="0"/>
    <x v="0"/>
    <x v="0"/>
    <m/>
  </r>
  <r>
    <s v="P"/>
    <x v="113"/>
    <x v="2"/>
    <m/>
    <m/>
    <x v="5"/>
    <m/>
    <x v="10"/>
    <s v="Ahmedabad"/>
    <x v="2"/>
    <x v="0"/>
    <n v="123750"/>
    <d v="2019-09-30T00:00:00"/>
    <x v="0"/>
    <m/>
    <m/>
    <m/>
    <n v="1900004384"/>
    <d v="2019-12-05T00:00:00"/>
    <x v="5"/>
    <m/>
    <x v="0"/>
    <x v="0"/>
    <m/>
    <x v="0"/>
    <m/>
    <m/>
    <m/>
    <x v="0"/>
    <x v="0"/>
    <x v="0"/>
    <x v="0"/>
    <m/>
  </r>
  <r>
    <s v="F"/>
    <x v="114"/>
    <x v="2"/>
    <m/>
    <m/>
    <x v="5"/>
    <m/>
    <x v="10"/>
    <s v="Ahmedabad"/>
    <x v="5"/>
    <x v="0"/>
    <n v="825"/>
    <d v="2019-07-01T00:00:00"/>
    <x v="0"/>
    <m/>
    <m/>
    <m/>
    <n v="1900004404"/>
    <d v="2019-12-06T00:00:00"/>
    <x v="2"/>
    <m/>
    <x v="0"/>
    <x v="0"/>
    <m/>
    <x v="0"/>
    <m/>
    <m/>
    <m/>
    <x v="0"/>
    <x v="0"/>
    <x v="0"/>
    <x v="0"/>
    <m/>
  </r>
  <r>
    <s v="F"/>
    <x v="115"/>
    <x v="2"/>
    <m/>
    <m/>
    <x v="5"/>
    <m/>
    <x v="10"/>
    <s v="Ahmedabad"/>
    <x v="5"/>
    <x v="0"/>
    <n v="1556"/>
    <d v="2019-07-01T00:00:00"/>
    <x v="0"/>
    <m/>
    <m/>
    <m/>
    <n v="1900004408"/>
    <d v="2019-12-06T00:00:00"/>
    <x v="2"/>
    <m/>
    <x v="0"/>
    <x v="0"/>
    <m/>
    <x v="0"/>
    <m/>
    <m/>
    <m/>
    <x v="0"/>
    <x v="0"/>
    <x v="0"/>
    <x v="0"/>
    <m/>
  </r>
  <r>
    <s v="F"/>
    <x v="116"/>
    <x v="2"/>
    <m/>
    <m/>
    <x v="5"/>
    <m/>
    <x v="10"/>
    <s v="Ahmedabad"/>
    <x v="5"/>
    <x v="0"/>
    <n v="12350"/>
    <d v="2019-07-01T00:00:00"/>
    <x v="0"/>
    <m/>
    <m/>
    <m/>
    <n v="1900004411"/>
    <d v="2019-12-06T00:00:00"/>
    <x v="2"/>
    <m/>
    <x v="0"/>
    <x v="0"/>
    <m/>
    <x v="0"/>
    <m/>
    <m/>
    <m/>
    <x v="0"/>
    <x v="0"/>
    <x v="0"/>
    <x v="0"/>
    <m/>
  </r>
  <r>
    <s v="N"/>
    <x v="117"/>
    <x v="2"/>
    <m/>
    <m/>
    <x v="5"/>
    <m/>
    <x v="14"/>
    <s v="Ahmedabad"/>
    <x v="0"/>
    <x v="2"/>
    <n v="15593"/>
    <d v="2019-01-12T00:00:00"/>
    <x v="0"/>
    <m/>
    <m/>
    <m/>
    <n v="1900004474"/>
    <d v="2019-12-09T00:00:00"/>
    <x v="8"/>
    <m/>
    <x v="0"/>
    <x v="0"/>
    <m/>
    <x v="0"/>
    <m/>
    <m/>
    <m/>
    <x v="0"/>
    <x v="0"/>
    <x v="0"/>
    <x v="0"/>
    <m/>
  </r>
  <r>
    <s v="S"/>
    <x v="118"/>
    <x v="2"/>
    <m/>
    <m/>
    <x v="5"/>
    <m/>
    <x v="14"/>
    <s v="Ahmedabad"/>
    <x v="1"/>
    <x v="2"/>
    <n v="2212"/>
    <d v="2019-04-10T00:00:00"/>
    <x v="0"/>
    <m/>
    <m/>
    <m/>
    <n v="1900004500"/>
    <d v="2019-12-09T00:00:00"/>
    <x v="8"/>
    <m/>
    <x v="0"/>
    <x v="0"/>
    <m/>
    <x v="0"/>
    <m/>
    <m/>
    <m/>
    <x v="0"/>
    <x v="0"/>
    <x v="0"/>
    <x v="0"/>
    <m/>
  </r>
  <r>
    <s v="N"/>
    <x v="119"/>
    <x v="2"/>
    <m/>
    <m/>
    <x v="5"/>
    <m/>
    <x v="14"/>
    <s v="Ahmedabad"/>
    <x v="2"/>
    <x v="2"/>
    <n v="9056"/>
    <d v="2019-07-09T00:00:00"/>
    <x v="0"/>
    <m/>
    <m/>
    <m/>
    <n v="1900004501"/>
    <d v="2019-12-09T00:00:00"/>
    <x v="8"/>
    <m/>
    <x v="0"/>
    <x v="0"/>
    <m/>
    <x v="0"/>
    <m/>
    <m/>
    <m/>
    <x v="0"/>
    <x v="0"/>
    <x v="0"/>
    <x v="0"/>
    <m/>
  </r>
  <r>
    <s v="F"/>
    <x v="120"/>
    <x v="2"/>
    <m/>
    <m/>
    <x v="5"/>
    <m/>
    <x v="10"/>
    <s v="Ahmedabad"/>
    <x v="5"/>
    <x v="0"/>
    <n v="1897"/>
    <d v="2019-07-01T00:00:00"/>
    <x v="0"/>
    <m/>
    <m/>
    <m/>
    <n v="1900004503"/>
    <d v="2019-12-10T00:00:00"/>
    <x v="2"/>
    <m/>
    <x v="0"/>
    <x v="0"/>
    <m/>
    <x v="0"/>
    <m/>
    <m/>
    <m/>
    <x v="0"/>
    <x v="0"/>
    <x v="0"/>
    <x v="0"/>
    <m/>
  </r>
  <r>
    <s v="F"/>
    <x v="121"/>
    <x v="2"/>
    <m/>
    <m/>
    <x v="5"/>
    <m/>
    <x v="10"/>
    <s v="Ahmedabad"/>
    <x v="5"/>
    <x v="0"/>
    <n v="42500"/>
    <d v="2019-07-01T00:00:00"/>
    <x v="0"/>
    <m/>
    <m/>
    <m/>
    <n v="1900004505"/>
    <d v="2019-12-10T00:00:00"/>
    <x v="2"/>
    <m/>
    <x v="0"/>
    <x v="0"/>
    <m/>
    <x v="0"/>
    <m/>
    <m/>
    <m/>
    <x v="0"/>
    <x v="0"/>
    <x v="0"/>
    <x v="0"/>
    <m/>
  </r>
  <r>
    <s v="F"/>
    <x v="122"/>
    <x v="2"/>
    <m/>
    <m/>
    <x v="5"/>
    <m/>
    <x v="10"/>
    <s v="Ahmedabad"/>
    <x v="5"/>
    <x v="0"/>
    <n v="10917"/>
    <d v="2019-07-01T00:00:00"/>
    <x v="0"/>
    <m/>
    <m/>
    <m/>
    <n v="1900004507"/>
    <d v="2019-12-10T00:00:00"/>
    <x v="2"/>
    <m/>
    <x v="0"/>
    <x v="0"/>
    <m/>
    <x v="0"/>
    <m/>
    <m/>
    <m/>
    <x v="0"/>
    <x v="0"/>
    <x v="0"/>
    <x v="0"/>
    <m/>
  </r>
  <r>
    <s v="F"/>
    <x v="123"/>
    <x v="2"/>
    <m/>
    <m/>
    <x v="5"/>
    <m/>
    <x v="10"/>
    <s v="Ahmedabad"/>
    <x v="5"/>
    <x v="0"/>
    <n v="3375"/>
    <d v="2019-07-01T00:00:00"/>
    <x v="0"/>
    <m/>
    <m/>
    <m/>
    <n v="1900004518"/>
    <d v="2019-12-10T00:00:00"/>
    <x v="2"/>
    <m/>
    <x v="0"/>
    <x v="0"/>
    <m/>
    <x v="0"/>
    <m/>
    <m/>
    <m/>
    <x v="0"/>
    <x v="0"/>
    <x v="0"/>
    <x v="0"/>
    <m/>
  </r>
  <r>
    <s v="P"/>
    <x v="124"/>
    <x v="2"/>
    <m/>
    <m/>
    <x v="5"/>
    <m/>
    <x v="10"/>
    <s v="Ahmedabad"/>
    <x v="5"/>
    <x v="0"/>
    <n v="320175"/>
    <d v="2019-12-06T00:00:00"/>
    <x v="1"/>
    <m/>
    <m/>
    <m/>
    <n v="1900004535"/>
    <d v="2019-12-10T00:00:00"/>
    <x v="2"/>
    <m/>
    <x v="0"/>
    <x v="0"/>
    <m/>
    <x v="0"/>
    <m/>
    <m/>
    <m/>
    <x v="0"/>
    <x v="0"/>
    <x v="0"/>
    <x v="0"/>
    <m/>
  </r>
  <r>
    <s v="P"/>
    <x v="42"/>
    <x v="2"/>
    <m/>
    <m/>
    <x v="5"/>
    <m/>
    <x v="10"/>
    <s v="Ahmedabad"/>
    <x v="5"/>
    <x v="0"/>
    <n v="320175"/>
    <d v="2019-12-06T00:00:00"/>
    <x v="1"/>
    <m/>
    <m/>
    <m/>
    <n v="1900004535"/>
    <d v="2019-12-10T00:00:00"/>
    <x v="2"/>
    <m/>
    <x v="0"/>
    <x v="0"/>
    <m/>
    <x v="0"/>
    <m/>
    <m/>
    <m/>
    <x v="0"/>
    <x v="0"/>
    <x v="0"/>
    <x v="0"/>
    <m/>
  </r>
  <r>
    <s v="P"/>
    <x v="125"/>
    <x v="2"/>
    <m/>
    <m/>
    <x v="5"/>
    <m/>
    <x v="10"/>
    <s v="Ahmedabad"/>
    <x v="5"/>
    <x v="0"/>
    <n v="320175"/>
    <d v="2019-12-06T00:00:00"/>
    <x v="1"/>
    <m/>
    <m/>
    <m/>
    <n v="1900004535"/>
    <d v="2019-12-10T00:00:00"/>
    <x v="2"/>
    <m/>
    <x v="0"/>
    <x v="0"/>
    <m/>
    <x v="0"/>
    <m/>
    <m/>
    <m/>
    <x v="0"/>
    <x v="0"/>
    <x v="0"/>
    <x v="0"/>
    <m/>
  </r>
  <r>
    <s v="S"/>
    <x v="126"/>
    <x v="2"/>
    <m/>
    <m/>
    <x v="5"/>
    <m/>
    <x v="10"/>
    <s v="Ahmedabad"/>
    <x v="5"/>
    <x v="0"/>
    <n v="168593"/>
    <d v="2019-05-28T00:00:00"/>
    <x v="1"/>
    <m/>
    <m/>
    <m/>
    <n v="1900004538"/>
    <d v="2019-12-10T00:00:00"/>
    <x v="2"/>
    <m/>
    <x v="0"/>
    <x v="0"/>
    <m/>
    <x v="0"/>
    <m/>
    <m/>
    <m/>
    <x v="0"/>
    <x v="0"/>
    <x v="0"/>
    <x v="0"/>
    <m/>
  </r>
  <r>
    <s v="S"/>
    <x v="56"/>
    <x v="2"/>
    <m/>
    <m/>
    <x v="5"/>
    <m/>
    <x v="10"/>
    <s v="Ahmedabad"/>
    <x v="5"/>
    <x v="0"/>
    <n v="168593"/>
    <d v="2019-05-28T00:00:00"/>
    <x v="1"/>
    <m/>
    <m/>
    <m/>
    <n v="1900004538"/>
    <d v="2019-12-10T00:00:00"/>
    <x v="2"/>
    <m/>
    <x v="0"/>
    <x v="0"/>
    <m/>
    <x v="0"/>
    <m/>
    <m/>
    <m/>
    <x v="0"/>
    <x v="0"/>
    <x v="0"/>
    <x v="0"/>
    <m/>
  </r>
  <r>
    <s v="T"/>
    <x v="127"/>
    <x v="2"/>
    <m/>
    <m/>
    <x v="5"/>
    <m/>
    <x v="10"/>
    <s v="Ahmedabad"/>
    <x v="5"/>
    <x v="0"/>
    <n v="2970"/>
    <d v="2019-09-22T00:00:00"/>
    <x v="0"/>
    <m/>
    <m/>
    <m/>
    <n v="1900004894"/>
    <d v="2019-12-19T00:00:00"/>
    <x v="2"/>
    <m/>
    <x v="0"/>
    <x v="0"/>
    <m/>
    <x v="0"/>
    <m/>
    <m/>
    <m/>
    <x v="0"/>
    <x v="0"/>
    <x v="0"/>
    <x v="0"/>
    <m/>
  </r>
  <r>
    <s v="C"/>
    <x v="128"/>
    <x v="2"/>
    <m/>
    <m/>
    <x v="5"/>
    <m/>
    <x v="11"/>
    <s v="Ahmedabad"/>
    <x v="5"/>
    <x v="2"/>
    <n v="7022"/>
    <d v="2019-08-26T00:00:00"/>
    <x v="0"/>
    <m/>
    <m/>
    <m/>
    <n v="1900004898"/>
    <d v="2019-12-19T00:00:00"/>
    <x v="3"/>
    <m/>
    <x v="0"/>
    <x v="0"/>
    <m/>
    <x v="0"/>
    <m/>
    <m/>
    <m/>
    <x v="0"/>
    <x v="0"/>
    <x v="0"/>
    <x v="0"/>
    <m/>
  </r>
  <r>
    <s v="G"/>
    <x v="129"/>
    <x v="2"/>
    <m/>
    <m/>
    <x v="5"/>
    <m/>
    <x v="10"/>
    <s v="Ahmedabad"/>
    <x v="5"/>
    <x v="0"/>
    <n v="202350"/>
    <d v="2019-09-30T00:00:00"/>
    <x v="0"/>
    <m/>
    <m/>
    <m/>
    <n v="1900004909"/>
    <d v="2019-12-19T00:00:00"/>
    <x v="2"/>
    <m/>
    <x v="0"/>
    <x v="0"/>
    <m/>
    <x v="0"/>
    <m/>
    <m/>
    <m/>
    <x v="0"/>
    <x v="0"/>
    <x v="0"/>
    <x v="0"/>
    <m/>
  </r>
  <r>
    <s v="G"/>
    <x v="130"/>
    <x v="2"/>
    <m/>
    <m/>
    <x v="5"/>
    <m/>
    <x v="11"/>
    <s v="Ahmedabad"/>
    <x v="5"/>
    <x v="2"/>
    <n v="87500"/>
    <d v="2019-07-31T00:00:00"/>
    <x v="0"/>
    <m/>
    <m/>
    <m/>
    <n v="1900004912"/>
    <d v="2019-12-19T00:00:00"/>
    <x v="3"/>
    <m/>
    <x v="0"/>
    <x v="0"/>
    <m/>
    <x v="0"/>
    <m/>
    <m/>
    <m/>
    <x v="0"/>
    <x v="0"/>
    <x v="0"/>
    <x v="0"/>
    <m/>
  </r>
  <r>
    <s v="G"/>
    <x v="131"/>
    <x v="2"/>
    <m/>
    <m/>
    <x v="5"/>
    <m/>
    <x v="11"/>
    <s v="Ahmedabad"/>
    <x v="5"/>
    <x v="2"/>
    <n v="44260"/>
    <d v="2019-09-30T00:00:00"/>
    <x v="0"/>
    <m/>
    <m/>
    <m/>
    <n v="1900004917"/>
    <d v="2019-12-19T00:00:00"/>
    <x v="3"/>
    <m/>
    <x v="0"/>
    <x v="0"/>
    <m/>
    <x v="0"/>
    <m/>
    <m/>
    <m/>
    <x v="0"/>
    <x v="0"/>
    <x v="0"/>
    <x v="0"/>
    <m/>
  </r>
  <r>
    <s v="G"/>
    <x v="132"/>
    <x v="2"/>
    <m/>
    <m/>
    <x v="5"/>
    <m/>
    <x v="10"/>
    <s v="Ahmedabad"/>
    <x v="6"/>
    <x v="1"/>
    <n v="11550"/>
    <d v="2019-09-08T00:00:00"/>
    <x v="0"/>
    <m/>
    <m/>
    <m/>
    <n v="1900004919"/>
    <d v="2019-12-19T00:00:00"/>
    <x v="10"/>
    <m/>
    <x v="0"/>
    <x v="0"/>
    <m/>
    <x v="0"/>
    <m/>
    <m/>
    <m/>
    <x v="0"/>
    <x v="0"/>
    <x v="0"/>
    <x v="0"/>
    <m/>
  </r>
  <r>
    <s v="G"/>
    <x v="133"/>
    <x v="2"/>
    <m/>
    <m/>
    <x v="5"/>
    <m/>
    <x v="10"/>
    <s v="Ahmedabad"/>
    <x v="4"/>
    <x v="1"/>
    <n v="43033"/>
    <d v="2019-09-08T00:00:00"/>
    <x v="0"/>
    <m/>
    <m/>
    <m/>
    <n v="1900004920"/>
    <d v="2019-12-19T00:00:00"/>
    <x v="10"/>
    <m/>
    <x v="0"/>
    <x v="0"/>
    <m/>
    <x v="0"/>
    <m/>
    <m/>
    <m/>
    <x v="0"/>
    <x v="0"/>
    <x v="0"/>
    <x v="0"/>
    <m/>
  </r>
  <r>
    <s v="G"/>
    <x v="132"/>
    <x v="2"/>
    <m/>
    <m/>
    <x v="5"/>
    <m/>
    <x v="10"/>
    <s v="Ahmedabad"/>
    <x v="6"/>
    <x v="1"/>
    <n v="7700"/>
    <d v="2019-09-08T00:00:00"/>
    <x v="0"/>
    <m/>
    <m/>
    <m/>
    <n v="1900004922"/>
    <d v="2019-12-19T00:00:00"/>
    <x v="10"/>
    <m/>
    <x v="0"/>
    <x v="0"/>
    <m/>
    <x v="0"/>
    <m/>
    <m/>
    <m/>
    <x v="0"/>
    <x v="0"/>
    <x v="0"/>
    <x v="0"/>
    <m/>
  </r>
  <r>
    <s v="G"/>
    <x v="133"/>
    <x v="2"/>
    <m/>
    <m/>
    <x v="5"/>
    <m/>
    <x v="10"/>
    <s v="Ahmedabad"/>
    <x v="4"/>
    <x v="1"/>
    <n v="72139"/>
    <d v="2019-09-08T00:00:00"/>
    <x v="0"/>
    <m/>
    <m/>
    <m/>
    <n v="1900004923"/>
    <d v="2019-12-19T00:00:00"/>
    <x v="10"/>
    <m/>
    <x v="0"/>
    <x v="0"/>
    <m/>
    <x v="0"/>
    <m/>
    <m/>
    <m/>
    <x v="0"/>
    <x v="0"/>
    <x v="0"/>
    <x v="0"/>
    <m/>
  </r>
  <r>
    <s v="G"/>
    <x v="49"/>
    <x v="2"/>
    <m/>
    <m/>
    <x v="5"/>
    <m/>
    <x v="14"/>
    <s v="Ahmedabad"/>
    <x v="1"/>
    <x v="2"/>
    <n v="32585"/>
    <d v="2019-09-11T00:00:00"/>
    <x v="0"/>
    <m/>
    <m/>
    <m/>
    <n v="1900004928"/>
    <d v="2019-12-19T00:00:00"/>
    <x v="8"/>
    <m/>
    <x v="0"/>
    <x v="0"/>
    <m/>
    <x v="0"/>
    <m/>
    <m/>
    <m/>
    <x v="0"/>
    <x v="0"/>
    <x v="0"/>
    <x v="0"/>
    <m/>
  </r>
  <r>
    <s v="G"/>
    <x v="49"/>
    <x v="2"/>
    <m/>
    <m/>
    <x v="5"/>
    <m/>
    <x v="14"/>
    <s v="Ahmedabad"/>
    <x v="1"/>
    <x v="2"/>
    <n v="8045"/>
    <d v="2019-09-22T00:00:00"/>
    <x v="0"/>
    <m/>
    <m/>
    <m/>
    <n v="1900004933"/>
    <d v="2019-12-19T00:00:00"/>
    <x v="8"/>
    <m/>
    <x v="0"/>
    <x v="0"/>
    <m/>
    <x v="0"/>
    <m/>
    <m/>
    <m/>
    <x v="0"/>
    <x v="0"/>
    <x v="0"/>
    <x v="0"/>
    <m/>
  </r>
  <r>
    <s v="P"/>
    <x v="134"/>
    <x v="2"/>
    <m/>
    <m/>
    <x v="5"/>
    <m/>
    <x v="10"/>
    <s v="Ahmedabad"/>
    <x v="5"/>
    <x v="0"/>
    <n v="26968"/>
    <d v="2019-10-25T00:00:00"/>
    <x v="0"/>
    <m/>
    <m/>
    <m/>
    <n v="1900004983"/>
    <d v="2019-12-19T00:00:00"/>
    <x v="2"/>
    <m/>
    <x v="0"/>
    <x v="0"/>
    <m/>
    <x v="0"/>
    <m/>
    <m/>
    <m/>
    <x v="0"/>
    <x v="0"/>
    <x v="0"/>
    <x v="0"/>
    <m/>
  </r>
  <r>
    <s v="P"/>
    <x v="135"/>
    <x v="2"/>
    <m/>
    <m/>
    <x v="5"/>
    <m/>
    <x v="10"/>
    <s v="Ahmedabad"/>
    <x v="5"/>
    <x v="0"/>
    <n v="2437"/>
    <d v="2019-10-26T00:00:00"/>
    <x v="0"/>
    <m/>
    <m/>
    <m/>
    <n v="1900004984"/>
    <d v="2019-12-19T00:00:00"/>
    <x v="2"/>
    <m/>
    <x v="0"/>
    <x v="0"/>
    <m/>
    <x v="0"/>
    <m/>
    <m/>
    <m/>
    <x v="0"/>
    <x v="0"/>
    <x v="0"/>
    <x v="0"/>
    <m/>
  </r>
  <r>
    <s v="P"/>
    <x v="125"/>
    <x v="2"/>
    <m/>
    <m/>
    <x v="5"/>
    <m/>
    <x v="10"/>
    <s v="Ahmedabad"/>
    <x v="5"/>
    <x v="0"/>
    <n v="53278"/>
    <d v="2019-01-01T00:00:00"/>
    <x v="0"/>
    <m/>
    <m/>
    <m/>
    <n v="1900004985"/>
    <d v="2019-12-19T00:00:00"/>
    <x v="2"/>
    <m/>
    <x v="0"/>
    <x v="0"/>
    <m/>
    <x v="0"/>
    <m/>
    <m/>
    <m/>
    <x v="0"/>
    <x v="0"/>
    <x v="0"/>
    <x v="0"/>
    <m/>
  </r>
  <r>
    <s v="P"/>
    <x v="136"/>
    <x v="2"/>
    <m/>
    <m/>
    <x v="5"/>
    <m/>
    <x v="10"/>
    <s v="Ahmedabad"/>
    <x v="5"/>
    <x v="0"/>
    <n v="30048"/>
    <d v="2019-01-01T00:00:00"/>
    <x v="0"/>
    <m/>
    <m/>
    <m/>
    <n v="1900004986"/>
    <d v="2019-12-19T00:00:00"/>
    <x v="2"/>
    <m/>
    <x v="0"/>
    <x v="0"/>
    <m/>
    <x v="0"/>
    <m/>
    <m/>
    <m/>
    <x v="0"/>
    <x v="0"/>
    <x v="0"/>
    <x v="0"/>
    <m/>
  </r>
  <r>
    <s v="P"/>
    <x v="137"/>
    <x v="2"/>
    <m/>
    <m/>
    <x v="5"/>
    <m/>
    <x v="10"/>
    <s v="Ahmedabad"/>
    <x v="5"/>
    <x v="0"/>
    <n v="12500"/>
    <d v="2019-09-19T00:00:00"/>
    <x v="0"/>
    <m/>
    <m/>
    <m/>
    <n v="1900004987"/>
    <d v="2019-12-19T00:00:00"/>
    <x v="2"/>
    <m/>
    <x v="0"/>
    <x v="0"/>
    <m/>
    <x v="0"/>
    <m/>
    <m/>
    <m/>
    <x v="0"/>
    <x v="0"/>
    <x v="0"/>
    <x v="0"/>
    <m/>
  </r>
  <r>
    <s v="M"/>
    <x v="138"/>
    <x v="2"/>
    <m/>
    <m/>
    <x v="5"/>
    <m/>
    <x v="11"/>
    <s v="Ahmedabad"/>
    <x v="5"/>
    <x v="2"/>
    <n v="3854"/>
    <d v="2019-04-30T00:00:00"/>
    <x v="0"/>
    <m/>
    <m/>
    <m/>
    <n v="1900005036"/>
    <d v="2019-12-20T00:00:00"/>
    <x v="3"/>
    <m/>
    <x v="0"/>
    <x v="0"/>
    <m/>
    <x v="0"/>
    <m/>
    <m/>
    <m/>
    <x v="0"/>
    <x v="0"/>
    <x v="0"/>
    <x v="0"/>
    <m/>
  </r>
  <r>
    <s v="M"/>
    <x v="68"/>
    <x v="2"/>
    <m/>
    <m/>
    <x v="5"/>
    <m/>
    <x v="10"/>
    <s v="Ahmedabad"/>
    <x v="5"/>
    <x v="0"/>
    <n v="132392"/>
    <d v="2019-12-20T00:00:00"/>
    <x v="1"/>
    <m/>
    <m/>
    <m/>
    <n v="1900005300"/>
    <d v="2019-12-24T00:00:00"/>
    <x v="2"/>
    <m/>
    <x v="0"/>
    <x v="0"/>
    <m/>
    <x v="0"/>
    <m/>
    <m/>
    <m/>
    <x v="0"/>
    <x v="0"/>
    <x v="0"/>
    <x v="0"/>
    <m/>
  </r>
  <r>
    <s v="M"/>
    <x v="139"/>
    <x v="2"/>
    <m/>
    <m/>
    <x v="5"/>
    <m/>
    <x v="10"/>
    <s v="Ahmedabad"/>
    <x v="5"/>
    <x v="0"/>
    <n v="132392"/>
    <d v="2019-12-20T00:00:00"/>
    <x v="1"/>
    <m/>
    <m/>
    <m/>
    <n v="1900005300"/>
    <d v="2019-12-24T00:00:00"/>
    <x v="2"/>
    <m/>
    <x v="0"/>
    <x v="0"/>
    <m/>
    <x v="0"/>
    <m/>
    <m/>
    <m/>
    <x v="0"/>
    <x v="0"/>
    <x v="0"/>
    <x v="0"/>
    <m/>
  </r>
  <r>
    <s v="M"/>
    <x v="35"/>
    <x v="2"/>
    <m/>
    <m/>
    <x v="5"/>
    <m/>
    <x v="10"/>
    <s v="Ahmedabad"/>
    <x v="5"/>
    <x v="0"/>
    <n v="132392"/>
    <d v="2019-12-20T00:00:00"/>
    <x v="1"/>
    <m/>
    <m/>
    <m/>
    <n v="1900005300"/>
    <d v="2019-12-24T00:00:00"/>
    <x v="2"/>
    <m/>
    <x v="0"/>
    <x v="0"/>
    <m/>
    <x v="0"/>
    <m/>
    <m/>
    <m/>
    <x v="0"/>
    <x v="0"/>
    <x v="0"/>
    <x v="0"/>
    <m/>
  </r>
  <r>
    <s v="M"/>
    <x v="88"/>
    <x v="2"/>
    <m/>
    <m/>
    <x v="5"/>
    <m/>
    <x v="10"/>
    <s v="Ahmedabad"/>
    <x v="5"/>
    <x v="0"/>
    <n v="132392"/>
    <d v="2019-12-20T00:00:00"/>
    <x v="1"/>
    <m/>
    <m/>
    <m/>
    <n v="1900005300"/>
    <d v="2019-12-24T00:00:00"/>
    <x v="2"/>
    <m/>
    <x v="0"/>
    <x v="0"/>
    <m/>
    <x v="0"/>
    <m/>
    <m/>
    <m/>
    <x v="0"/>
    <x v="0"/>
    <x v="0"/>
    <x v="0"/>
    <m/>
  </r>
  <r>
    <s v="S"/>
    <x v="49"/>
    <x v="2"/>
    <m/>
    <m/>
    <x v="5"/>
    <m/>
    <x v="14"/>
    <s v="Ahmedabad"/>
    <x v="1"/>
    <x v="2"/>
    <n v="26805"/>
    <d v="2019-11-19T00:00:00"/>
    <x v="0"/>
    <m/>
    <m/>
    <m/>
    <n v="1900005324"/>
    <d v="2019-12-24T00:00:00"/>
    <x v="8"/>
    <m/>
    <x v="0"/>
    <x v="0"/>
    <m/>
    <x v="0"/>
    <m/>
    <m/>
    <m/>
    <x v="0"/>
    <x v="0"/>
    <x v="0"/>
    <x v="0"/>
    <m/>
  </r>
  <r>
    <s v="S"/>
    <x v="140"/>
    <x v="2"/>
    <m/>
    <m/>
    <x v="5"/>
    <m/>
    <x v="10"/>
    <s v="Ahmedabad"/>
    <x v="2"/>
    <x v="0"/>
    <n v="956"/>
    <d v="2019-07-03T00:00:00"/>
    <x v="0"/>
    <m/>
    <m/>
    <m/>
    <n v="1900005325"/>
    <d v="2019-12-24T00:00:00"/>
    <x v="4"/>
    <m/>
    <x v="0"/>
    <x v="0"/>
    <m/>
    <x v="0"/>
    <m/>
    <m/>
    <m/>
    <x v="0"/>
    <x v="0"/>
    <x v="0"/>
    <x v="0"/>
    <m/>
  </r>
  <r>
    <s v="A"/>
    <x v="141"/>
    <x v="2"/>
    <m/>
    <m/>
    <x v="5"/>
    <m/>
    <x v="11"/>
    <s v="Ahmedabad"/>
    <x v="5"/>
    <x v="2"/>
    <n v="2089"/>
    <d v="2019-08-26T00:00:00"/>
    <x v="0"/>
    <m/>
    <m/>
    <m/>
    <n v="1900005329"/>
    <d v="2019-12-24T00:00:00"/>
    <x v="3"/>
    <m/>
    <x v="0"/>
    <x v="0"/>
    <m/>
    <x v="0"/>
    <m/>
    <m/>
    <m/>
    <x v="0"/>
    <x v="0"/>
    <x v="0"/>
    <x v="0"/>
    <m/>
  </r>
  <r>
    <s v="T"/>
    <x v="142"/>
    <x v="2"/>
    <m/>
    <m/>
    <x v="5"/>
    <m/>
    <x v="10"/>
    <s v="Ahmedabad"/>
    <x v="5"/>
    <x v="0"/>
    <n v="8580"/>
    <d v="2019-09-21T00:00:00"/>
    <x v="0"/>
    <m/>
    <m/>
    <m/>
    <n v="1900005331"/>
    <d v="2019-12-24T00:00:00"/>
    <x v="2"/>
    <m/>
    <x v="0"/>
    <x v="0"/>
    <m/>
    <x v="0"/>
    <m/>
    <m/>
    <m/>
    <x v="0"/>
    <x v="0"/>
    <x v="0"/>
    <x v="0"/>
    <m/>
  </r>
  <r>
    <s v="F"/>
    <x v="143"/>
    <x v="2"/>
    <m/>
    <m/>
    <x v="5"/>
    <m/>
    <x v="10"/>
    <s v="Ahmedabad"/>
    <x v="5"/>
    <x v="0"/>
    <n v="60713"/>
    <d v="2019-07-01T00:00:00"/>
    <x v="0"/>
    <m/>
    <m/>
    <m/>
    <n v="1900005394"/>
    <d v="2019-12-25T00:00:00"/>
    <x v="2"/>
    <m/>
    <x v="0"/>
    <x v="0"/>
    <m/>
    <x v="0"/>
    <m/>
    <m/>
    <m/>
    <x v="0"/>
    <x v="0"/>
    <x v="0"/>
    <x v="0"/>
    <m/>
  </r>
  <r>
    <s v="G"/>
    <x v="144"/>
    <x v="2"/>
    <m/>
    <m/>
    <x v="5"/>
    <m/>
    <x v="10"/>
    <s v="Ahmedabad"/>
    <x v="0"/>
    <x v="0"/>
    <n v="50160"/>
    <d v="2019-10-27T00:00:00"/>
    <x v="0"/>
    <m/>
    <m/>
    <m/>
    <n v="1900005395"/>
    <d v="2019-12-25T00:00:00"/>
    <x v="2"/>
    <m/>
    <x v="0"/>
    <x v="0"/>
    <m/>
    <x v="0"/>
    <m/>
    <m/>
    <m/>
    <x v="0"/>
    <x v="0"/>
    <x v="0"/>
    <x v="0"/>
    <m/>
  </r>
  <r>
    <s v="G"/>
    <x v="145"/>
    <x v="2"/>
    <m/>
    <m/>
    <x v="5"/>
    <m/>
    <x v="10"/>
    <s v="Ahmedabad"/>
    <x v="5"/>
    <x v="3"/>
    <n v="71765"/>
    <d v="2019-10-26T00:00:00"/>
    <x v="0"/>
    <m/>
    <m/>
    <m/>
    <n v="1900005396"/>
    <d v="2019-12-25T00:00:00"/>
    <x v="2"/>
    <m/>
    <x v="0"/>
    <x v="0"/>
    <m/>
    <x v="0"/>
    <m/>
    <m/>
    <m/>
    <x v="0"/>
    <x v="0"/>
    <x v="0"/>
    <x v="0"/>
    <m/>
  </r>
  <r>
    <s v="P"/>
    <x v="146"/>
    <x v="2"/>
    <m/>
    <m/>
    <x v="5"/>
    <m/>
    <x v="12"/>
    <s v="Ahmedabad"/>
    <x v="1"/>
    <x v="2"/>
    <n v="62399"/>
    <d v="2019-11-14T00:00:00"/>
    <x v="0"/>
    <m/>
    <m/>
    <m/>
    <n v="1900005439"/>
    <d v="2019-12-25T00:00:00"/>
    <x v="6"/>
    <m/>
    <x v="0"/>
    <x v="0"/>
    <m/>
    <x v="0"/>
    <m/>
    <m/>
    <m/>
    <x v="0"/>
    <x v="0"/>
    <x v="0"/>
    <x v="0"/>
    <m/>
  </r>
  <r>
    <s v="O"/>
    <x v="147"/>
    <x v="2"/>
    <m/>
    <m/>
    <x v="5"/>
    <m/>
    <x v="15"/>
    <s v="Ahmedabad"/>
    <x v="3"/>
    <x v="2"/>
    <n v="27530"/>
    <d v="2019-03-09T00:00:00"/>
    <x v="0"/>
    <m/>
    <m/>
    <m/>
    <n v="1900005516"/>
    <d v="2019-12-26T00:00:00"/>
    <x v="11"/>
    <m/>
    <x v="0"/>
    <x v="0"/>
    <m/>
    <x v="0"/>
    <m/>
    <m/>
    <m/>
    <x v="0"/>
    <x v="0"/>
    <x v="0"/>
    <x v="0"/>
    <m/>
  </r>
  <r>
    <s v="A"/>
    <x v="148"/>
    <x v="2"/>
    <m/>
    <m/>
    <x v="5"/>
    <m/>
    <x v="10"/>
    <s v="Ahmedabad"/>
    <x v="2"/>
    <x v="0"/>
    <n v="60000"/>
    <d v="2019-04-01T00:00:00"/>
    <x v="0"/>
    <m/>
    <m/>
    <m/>
    <n v="1900005526"/>
    <d v="2019-12-26T00:00:00"/>
    <x v="5"/>
    <m/>
    <x v="0"/>
    <x v="0"/>
    <m/>
    <x v="0"/>
    <m/>
    <m/>
    <m/>
    <x v="0"/>
    <x v="0"/>
    <x v="0"/>
    <x v="0"/>
    <m/>
  </r>
  <r>
    <s v="C"/>
    <x v="149"/>
    <x v="2"/>
    <m/>
    <m/>
    <x v="5"/>
    <m/>
    <x v="10"/>
    <s v="Ahmedabad"/>
    <x v="5"/>
    <x v="0"/>
    <n v="77400"/>
    <d v="2019-08-10T00:00:00"/>
    <x v="0"/>
    <m/>
    <m/>
    <m/>
    <n v="1900005527"/>
    <d v="2019-12-26T00:00:00"/>
    <x v="2"/>
    <m/>
    <x v="0"/>
    <x v="0"/>
    <m/>
    <x v="0"/>
    <m/>
    <m/>
    <m/>
    <x v="0"/>
    <x v="0"/>
    <x v="0"/>
    <x v="0"/>
    <m/>
  </r>
  <r>
    <s v="C"/>
    <x v="149"/>
    <x v="2"/>
    <m/>
    <m/>
    <x v="5"/>
    <m/>
    <x v="10"/>
    <s v="Ahmedabad"/>
    <x v="5"/>
    <x v="0"/>
    <n v="302812"/>
    <d v="2019-08-10T00:00:00"/>
    <x v="0"/>
    <m/>
    <m/>
    <m/>
    <n v="1900005528"/>
    <d v="2019-12-26T00:00:00"/>
    <x v="2"/>
    <m/>
    <x v="0"/>
    <x v="0"/>
    <m/>
    <x v="0"/>
    <m/>
    <m/>
    <m/>
    <x v="0"/>
    <x v="0"/>
    <x v="0"/>
    <x v="0"/>
    <m/>
  </r>
  <r>
    <s v="H"/>
    <x v="150"/>
    <x v="2"/>
    <m/>
    <m/>
    <x v="5"/>
    <m/>
    <x v="10"/>
    <s v="Ahmedabad"/>
    <x v="6"/>
    <x v="0"/>
    <n v="275569"/>
    <d v="2019-03-01T00:00:00"/>
    <x v="0"/>
    <m/>
    <m/>
    <m/>
    <n v="1900005529"/>
    <d v="2019-12-26T00:00:00"/>
    <x v="6"/>
    <m/>
    <x v="0"/>
    <x v="0"/>
    <m/>
    <x v="0"/>
    <m/>
    <m/>
    <m/>
    <x v="0"/>
    <x v="0"/>
    <x v="0"/>
    <x v="0"/>
    <m/>
  </r>
  <r>
    <s v="H"/>
    <x v="151"/>
    <x v="2"/>
    <m/>
    <m/>
    <x v="5"/>
    <m/>
    <x v="10"/>
    <s v="Ahmedabad"/>
    <x v="3"/>
    <x v="0"/>
    <n v="320000"/>
    <d v="2019-01-31T00:00:00"/>
    <x v="0"/>
    <m/>
    <m/>
    <m/>
    <n v="1900005530"/>
    <d v="2019-12-26T00:00:00"/>
    <x v="6"/>
    <m/>
    <x v="0"/>
    <x v="0"/>
    <m/>
    <x v="0"/>
    <m/>
    <m/>
    <m/>
    <x v="0"/>
    <x v="0"/>
    <x v="0"/>
    <x v="0"/>
    <m/>
  </r>
  <r>
    <s v="S"/>
    <x v="152"/>
    <x v="2"/>
    <m/>
    <m/>
    <x v="5"/>
    <m/>
    <x v="10"/>
    <s v="Ahmedabad"/>
    <x v="2"/>
    <x v="0"/>
    <n v="114752"/>
    <d v="2019-11-01T00:00:00"/>
    <x v="0"/>
    <m/>
    <m/>
    <m/>
    <n v="1900005531"/>
    <d v="2019-12-26T00:00:00"/>
    <x v="5"/>
    <m/>
    <x v="0"/>
    <x v="0"/>
    <m/>
    <x v="0"/>
    <m/>
    <m/>
    <m/>
    <x v="0"/>
    <x v="0"/>
    <x v="0"/>
    <x v="0"/>
    <m/>
  </r>
  <r>
    <s v="S"/>
    <x v="54"/>
    <x v="2"/>
    <m/>
    <m/>
    <x v="5"/>
    <m/>
    <x v="10"/>
    <s v="Ahmedabad"/>
    <x v="2"/>
    <x v="3"/>
    <n v="49027"/>
    <d v="2019-02-04T00:00:00"/>
    <x v="0"/>
    <m/>
    <m/>
    <m/>
    <n v="1900005532"/>
    <d v="2019-12-26T00:00:00"/>
    <x v="5"/>
    <m/>
    <x v="0"/>
    <x v="0"/>
    <m/>
    <x v="0"/>
    <m/>
    <m/>
    <m/>
    <x v="0"/>
    <x v="0"/>
    <x v="0"/>
    <x v="0"/>
    <m/>
  </r>
  <r>
    <s v="P"/>
    <x v="153"/>
    <x v="2"/>
    <m/>
    <m/>
    <x v="5"/>
    <m/>
    <x v="12"/>
    <s v="Ahmedabad"/>
    <x v="1"/>
    <x v="2"/>
    <n v="153332"/>
    <d v="2019-10-19T00:00:00"/>
    <x v="0"/>
    <m/>
    <m/>
    <m/>
    <n v="1900005555"/>
    <d v="2019-12-26T00:00:00"/>
    <x v="6"/>
    <m/>
    <x v="0"/>
    <x v="0"/>
    <m/>
    <x v="0"/>
    <m/>
    <m/>
    <m/>
    <x v="0"/>
    <x v="0"/>
    <x v="0"/>
    <x v="0"/>
    <m/>
  </r>
  <r>
    <s v="ABC"/>
    <x v="154"/>
    <x v="2"/>
    <m/>
    <m/>
    <x v="5"/>
    <m/>
    <x v="10"/>
    <s v="Ahmedabad"/>
    <x v="0"/>
    <x v="1"/>
    <n v="23591"/>
    <d v="2019-05-01T00:00:00"/>
    <x v="0"/>
    <m/>
    <m/>
    <m/>
    <n v="1900005760"/>
    <d v="2019-12-28T00:00:00"/>
    <x v="10"/>
    <m/>
    <x v="0"/>
    <x v="0"/>
    <m/>
    <x v="0"/>
    <m/>
    <m/>
    <m/>
    <x v="0"/>
    <x v="0"/>
    <x v="0"/>
    <x v="0"/>
    <m/>
  </r>
  <r>
    <s v="F"/>
    <x v="155"/>
    <x v="2"/>
    <m/>
    <m/>
    <x v="5"/>
    <m/>
    <x v="10"/>
    <s v="Ahmedabad"/>
    <x v="5"/>
    <x v="0"/>
    <n v="19181"/>
    <d v="2019-08-02T00:00:00"/>
    <x v="0"/>
    <m/>
    <m/>
    <m/>
    <n v="1900005761"/>
    <d v="2019-12-28T00:00:00"/>
    <x v="2"/>
    <m/>
    <x v="0"/>
    <x v="0"/>
    <m/>
    <x v="0"/>
    <m/>
    <m/>
    <m/>
    <x v="0"/>
    <x v="0"/>
    <x v="0"/>
    <x v="0"/>
    <m/>
  </r>
  <r>
    <s v="G"/>
    <x v="156"/>
    <x v="2"/>
    <m/>
    <m/>
    <x v="5"/>
    <m/>
    <x v="10"/>
    <s v="Ahmedabad"/>
    <x v="4"/>
    <x v="1"/>
    <n v="8228"/>
    <d v="2019-02-28T00:00:00"/>
    <x v="0"/>
    <m/>
    <m/>
    <m/>
    <n v="1900005767"/>
    <d v="2019-12-28T00:00:00"/>
    <x v="10"/>
    <m/>
    <x v="0"/>
    <x v="0"/>
    <m/>
    <x v="0"/>
    <m/>
    <m/>
    <m/>
    <x v="0"/>
    <x v="0"/>
    <x v="0"/>
    <x v="0"/>
    <m/>
  </r>
  <r>
    <s v="G"/>
    <x v="156"/>
    <x v="2"/>
    <m/>
    <m/>
    <x v="5"/>
    <m/>
    <x v="10"/>
    <s v="Ahmedabad"/>
    <x v="4"/>
    <x v="3"/>
    <n v="5241"/>
    <d v="2019-07-12T00:00:00"/>
    <x v="0"/>
    <m/>
    <m/>
    <m/>
    <n v="1900005768"/>
    <d v="2019-12-28T00:00:00"/>
    <x v="10"/>
    <m/>
    <x v="0"/>
    <x v="0"/>
    <m/>
    <x v="0"/>
    <m/>
    <m/>
    <m/>
    <x v="0"/>
    <x v="0"/>
    <x v="0"/>
    <x v="0"/>
    <m/>
  </r>
  <r>
    <s v="G"/>
    <x v="157"/>
    <x v="2"/>
    <m/>
    <m/>
    <x v="5"/>
    <m/>
    <x v="10"/>
    <s v="Ahmedabad"/>
    <x v="4"/>
    <x v="3"/>
    <n v="13154"/>
    <d v="2019-10-10T00:00:00"/>
    <x v="0"/>
    <m/>
    <m/>
    <m/>
    <n v="1900005769"/>
    <d v="2019-12-28T00:00:00"/>
    <x v="10"/>
    <m/>
    <x v="0"/>
    <x v="0"/>
    <m/>
    <x v="0"/>
    <m/>
    <m/>
    <m/>
    <x v="0"/>
    <x v="0"/>
    <x v="0"/>
    <x v="0"/>
    <m/>
  </r>
  <r>
    <s v="G"/>
    <x v="157"/>
    <x v="2"/>
    <m/>
    <m/>
    <x v="5"/>
    <m/>
    <x v="10"/>
    <s v="Ahmedabad"/>
    <x v="4"/>
    <x v="1"/>
    <n v="14461"/>
    <d v="2019-09-08T00:00:00"/>
    <x v="0"/>
    <m/>
    <m/>
    <m/>
    <n v="1900005770"/>
    <d v="2019-12-28T00:00:00"/>
    <x v="10"/>
    <m/>
    <x v="0"/>
    <x v="0"/>
    <m/>
    <x v="0"/>
    <m/>
    <m/>
    <m/>
    <x v="0"/>
    <x v="0"/>
    <x v="0"/>
    <x v="0"/>
    <m/>
  </r>
  <r>
    <s v="H"/>
    <x v="158"/>
    <x v="2"/>
    <m/>
    <m/>
    <x v="5"/>
    <m/>
    <x v="10"/>
    <s v="Ahmedabad"/>
    <x v="5"/>
    <x v="0"/>
    <n v="2853"/>
    <d v="2019-06-23T00:00:00"/>
    <x v="0"/>
    <m/>
    <m/>
    <m/>
    <n v="1900005771"/>
    <d v="2019-12-28T00:00:00"/>
    <x v="2"/>
    <m/>
    <x v="0"/>
    <x v="0"/>
    <m/>
    <x v="0"/>
    <m/>
    <m/>
    <m/>
    <x v="0"/>
    <x v="0"/>
    <x v="0"/>
    <x v="0"/>
    <m/>
  </r>
  <r>
    <s v="H"/>
    <x v="159"/>
    <x v="2"/>
    <m/>
    <m/>
    <x v="5"/>
    <m/>
    <x v="10"/>
    <s v="Ahmedabad"/>
    <x v="5"/>
    <x v="0"/>
    <n v="495"/>
    <d v="2019-06-23T00:00:00"/>
    <x v="0"/>
    <m/>
    <m/>
    <m/>
    <n v="1900005772"/>
    <d v="2019-12-28T00:00:00"/>
    <x v="2"/>
    <m/>
    <x v="0"/>
    <x v="0"/>
    <m/>
    <x v="0"/>
    <m/>
    <m/>
    <m/>
    <x v="0"/>
    <x v="0"/>
    <x v="0"/>
    <x v="0"/>
    <m/>
  </r>
  <r>
    <s v="H"/>
    <x v="160"/>
    <x v="2"/>
    <m/>
    <m/>
    <x v="5"/>
    <m/>
    <x v="10"/>
    <s v="Ahmedabad"/>
    <x v="5"/>
    <x v="3"/>
    <n v="5891"/>
    <d v="2019-02-04T00:00:00"/>
    <x v="0"/>
    <m/>
    <m/>
    <m/>
    <n v="1900005773"/>
    <d v="2019-12-28T00:00:00"/>
    <x v="2"/>
    <m/>
    <x v="0"/>
    <x v="0"/>
    <m/>
    <x v="0"/>
    <m/>
    <m/>
    <m/>
    <x v="0"/>
    <x v="0"/>
    <x v="0"/>
    <x v="0"/>
    <m/>
  </r>
  <r>
    <s v="N"/>
    <x v="161"/>
    <x v="2"/>
    <m/>
    <m/>
    <x v="5"/>
    <m/>
    <x v="14"/>
    <s v="Ahmedabad"/>
    <x v="6"/>
    <x v="2"/>
    <n v="4596"/>
    <d v="2019-05-16T00:00:00"/>
    <x v="0"/>
    <m/>
    <m/>
    <m/>
    <n v="1900005774"/>
    <d v="2019-12-28T00:00:00"/>
    <x v="8"/>
    <m/>
    <x v="0"/>
    <x v="0"/>
    <m/>
    <x v="0"/>
    <m/>
    <m/>
    <m/>
    <x v="0"/>
    <x v="0"/>
    <x v="0"/>
    <x v="0"/>
    <m/>
  </r>
  <r>
    <s v="S"/>
    <x v="162"/>
    <x v="2"/>
    <m/>
    <m/>
    <x v="5"/>
    <m/>
    <x v="14"/>
    <s v="Ahmedabad"/>
    <x v="1"/>
    <x v="2"/>
    <n v="21443"/>
    <d v="2019-07-03T00:00:00"/>
    <x v="0"/>
    <m/>
    <m/>
    <m/>
    <n v="1900005775"/>
    <d v="2019-12-28T00:00:00"/>
    <x v="8"/>
    <m/>
    <x v="0"/>
    <x v="0"/>
    <m/>
    <x v="0"/>
    <m/>
    <m/>
    <m/>
    <x v="0"/>
    <x v="0"/>
    <x v="0"/>
    <x v="0"/>
    <m/>
  </r>
  <r>
    <s v="S"/>
    <x v="162"/>
    <x v="2"/>
    <m/>
    <m/>
    <x v="5"/>
    <m/>
    <x v="14"/>
    <s v="Ahmedabad"/>
    <x v="1"/>
    <x v="2"/>
    <n v="21442"/>
    <d v="2019-10-20T00:00:00"/>
    <x v="0"/>
    <m/>
    <m/>
    <m/>
    <n v="1900005776"/>
    <d v="2019-12-28T00:00:00"/>
    <x v="8"/>
    <m/>
    <x v="0"/>
    <x v="0"/>
    <m/>
    <x v="0"/>
    <m/>
    <m/>
    <m/>
    <x v="0"/>
    <x v="0"/>
    <x v="0"/>
    <x v="0"/>
    <m/>
  </r>
  <r>
    <s v="S"/>
    <x v="162"/>
    <x v="2"/>
    <m/>
    <m/>
    <x v="5"/>
    <m/>
    <x v="14"/>
    <s v="Ahmedabad"/>
    <x v="1"/>
    <x v="2"/>
    <n v="21443"/>
    <d v="2019-03-16T00:00:00"/>
    <x v="0"/>
    <m/>
    <m/>
    <m/>
    <n v="1900005777"/>
    <d v="2019-12-28T00:00:00"/>
    <x v="8"/>
    <m/>
    <x v="0"/>
    <x v="0"/>
    <m/>
    <x v="0"/>
    <m/>
    <m/>
    <m/>
    <x v="0"/>
    <x v="0"/>
    <x v="0"/>
    <x v="0"/>
    <m/>
  </r>
  <r>
    <s v="S"/>
    <x v="162"/>
    <x v="2"/>
    <m/>
    <m/>
    <x v="5"/>
    <m/>
    <x v="14"/>
    <s v="Ahmedabad"/>
    <x v="1"/>
    <x v="2"/>
    <n v="17949"/>
    <d v="2019-07-03T00:00:00"/>
    <x v="0"/>
    <m/>
    <m/>
    <m/>
    <n v="1900005778"/>
    <d v="2019-12-28T00:00:00"/>
    <x v="8"/>
    <m/>
    <x v="0"/>
    <x v="0"/>
    <m/>
    <x v="0"/>
    <m/>
    <m/>
    <m/>
    <x v="0"/>
    <x v="0"/>
    <x v="0"/>
    <x v="0"/>
    <m/>
  </r>
  <r>
    <s v="S"/>
    <x v="162"/>
    <x v="2"/>
    <m/>
    <m/>
    <x v="5"/>
    <m/>
    <x v="14"/>
    <s v="Ahmedabad"/>
    <x v="1"/>
    <x v="2"/>
    <n v="17949"/>
    <d v="2019-03-16T00:00:00"/>
    <x v="0"/>
    <m/>
    <m/>
    <m/>
    <n v="1900005779"/>
    <d v="2019-12-28T00:00:00"/>
    <x v="8"/>
    <m/>
    <x v="0"/>
    <x v="0"/>
    <m/>
    <x v="0"/>
    <m/>
    <m/>
    <m/>
    <x v="0"/>
    <x v="0"/>
    <x v="0"/>
    <x v="0"/>
    <m/>
  </r>
  <r>
    <s v="S"/>
    <x v="163"/>
    <x v="2"/>
    <m/>
    <m/>
    <x v="5"/>
    <m/>
    <x v="10"/>
    <s v="Ahmedabad"/>
    <x v="6"/>
    <x v="1"/>
    <n v="7889"/>
    <d v="2019-01-12T00:00:00"/>
    <x v="0"/>
    <m/>
    <m/>
    <m/>
    <n v="1900005780"/>
    <d v="2019-12-28T00:00:00"/>
    <x v="4"/>
    <m/>
    <x v="0"/>
    <x v="0"/>
    <m/>
    <x v="0"/>
    <m/>
    <m/>
    <m/>
    <x v="0"/>
    <x v="0"/>
    <x v="0"/>
    <x v="0"/>
    <m/>
  </r>
  <r>
    <s v="S"/>
    <x v="164"/>
    <x v="2"/>
    <m/>
    <m/>
    <x v="5"/>
    <m/>
    <x v="14"/>
    <s v="Ahmedabad"/>
    <x v="3"/>
    <x v="2"/>
    <n v="8198"/>
    <d v="2019-10-25T00:00:00"/>
    <x v="0"/>
    <m/>
    <m/>
    <m/>
    <n v="1900005781"/>
    <d v="2019-12-28T00:00:00"/>
    <x v="8"/>
    <m/>
    <x v="0"/>
    <x v="0"/>
    <m/>
    <x v="0"/>
    <m/>
    <m/>
    <m/>
    <x v="0"/>
    <x v="0"/>
    <x v="0"/>
    <x v="0"/>
    <m/>
  </r>
  <r>
    <s v="S"/>
    <x v="43"/>
    <x v="2"/>
    <m/>
    <m/>
    <x v="5"/>
    <m/>
    <x v="10"/>
    <s v="Ahmedabad"/>
    <x v="2"/>
    <x v="3"/>
    <n v="18697"/>
    <d v="2019-03-11T00:00:00"/>
    <x v="0"/>
    <m/>
    <m/>
    <m/>
    <n v="1900005782"/>
    <d v="2019-12-28T00:00:00"/>
    <x v="5"/>
    <m/>
    <x v="0"/>
    <x v="0"/>
    <m/>
    <x v="0"/>
    <m/>
    <m/>
    <m/>
    <x v="0"/>
    <x v="0"/>
    <x v="0"/>
    <x v="0"/>
    <m/>
  </r>
  <r>
    <s v="S"/>
    <x v="43"/>
    <x v="2"/>
    <m/>
    <m/>
    <x v="5"/>
    <m/>
    <x v="10"/>
    <s v="Ahmedabad"/>
    <x v="2"/>
    <x v="3"/>
    <n v="17140"/>
    <d v="2019-10-11T00:00:00"/>
    <x v="0"/>
    <m/>
    <m/>
    <m/>
    <n v="1900005783"/>
    <d v="2019-12-28T00:00:00"/>
    <x v="5"/>
    <m/>
    <x v="0"/>
    <x v="0"/>
    <m/>
    <x v="0"/>
    <m/>
    <m/>
    <m/>
    <x v="0"/>
    <x v="0"/>
    <x v="0"/>
    <x v="0"/>
    <m/>
  </r>
  <r>
    <s v="S"/>
    <x v="43"/>
    <x v="2"/>
    <m/>
    <m/>
    <x v="5"/>
    <m/>
    <x v="10"/>
    <s v="Ahmedabad"/>
    <x v="2"/>
    <x v="3"/>
    <n v="8561"/>
    <d v="2019-11-14T00:00:00"/>
    <x v="0"/>
    <m/>
    <m/>
    <m/>
    <n v="1900005784"/>
    <d v="2019-12-28T00:00:00"/>
    <x v="5"/>
    <m/>
    <x v="0"/>
    <x v="0"/>
    <m/>
    <x v="0"/>
    <m/>
    <m/>
    <m/>
    <x v="0"/>
    <x v="0"/>
    <x v="0"/>
    <x v="0"/>
    <m/>
  </r>
  <r>
    <s v="T"/>
    <x v="165"/>
    <x v="2"/>
    <m/>
    <m/>
    <x v="5"/>
    <m/>
    <x v="10"/>
    <s v="Ahmedabad"/>
    <x v="3"/>
    <x v="0"/>
    <n v="6213"/>
    <d v="2019-07-03T00:00:00"/>
    <x v="0"/>
    <m/>
    <m/>
    <m/>
    <n v="1900005785"/>
    <d v="2019-12-28T00:00:00"/>
    <x v="4"/>
    <m/>
    <x v="0"/>
    <x v="0"/>
    <m/>
    <x v="0"/>
    <m/>
    <m/>
    <m/>
    <x v="0"/>
    <x v="0"/>
    <x v="0"/>
    <x v="0"/>
    <m/>
  </r>
  <r>
    <s v="T"/>
    <x v="166"/>
    <x v="2"/>
    <m/>
    <m/>
    <x v="5"/>
    <m/>
    <x v="10"/>
    <s v="Ahmedabad"/>
    <x v="5"/>
    <x v="0"/>
    <n v="8625"/>
    <d v="2019-09-21T00:00:00"/>
    <x v="0"/>
    <m/>
    <m/>
    <m/>
    <n v="1900005786"/>
    <d v="2019-12-28T00:00:00"/>
    <x v="2"/>
    <m/>
    <x v="0"/>
    <x v="0"/>
    <m/>
    <x v="0"/>
    <m/>
    <m/>
    <m/>
    <x v="0"/>
    <x v="0"/>
    <x v="0"/>
    <x v="0"/>
    <m/>
  </r>
  <r>
    <s v="T"/>
    <x v="167"/>
    <x v="2"/>
    <m/>
    <m/>
    <x v="5"/>
    <m/>
    <x v="10"/>
    <s v="Ahmedabad"/>
    <x v="5"/>
    <x v="0"/>
    <n v="4579"/>
    <d v="2019-09-21T00:00:00"/>
    <x v="0"/>
    <m/>
    <m/>
    <m/>
    <n v="1900005787"/>
    <d v="2019-12-28T00:00:00"/>
    <x v="2"/>
    <m/>
    <x v="0"/>
    <x v="0"/>
    <m/>
    <x v="0"/>
    <m/>
    <m/>
    <m/>
    <x v="0"/>
    <x v="0"/>
    <x v="0"/>
    <x v="0"/>
    <m/>
  </r>
  <r>
    <s v="T"/>
    <x v="168"/>
    <x v="2"/>
    <m/>
    <m/>
    <x v="5"/>
    <m/>
    <x v="10"/>
    <s v="Ahmedabad"/>
    <x v="5"/>
    <x v="3"/>
    <n v="1980"/>
    <d v="2019-06-14T00:00:00"/>
    <x v="0"/>
    <m/>
    <m/>
    <m/>
    <n v="1900005788"/>
    <d v="2019-12-28T00:00:00"/>
    <x v="2"/>
    <m/>
    <x v="0"/>
    <x v="0"/>
    <m/>
    <x v="0"/>
    <m/>
    <m/>
    <m/>
    <x v="0"/>
    <x v="0"/>
    <x v="0"/>
    <x v="0"/>
    <m/>
  </r>
  <r>
    <s v="T"/>
    <x v="169"/>
    <x v="2"/>
    <m/>
    <m/>
    <x v="5"/>
    <m/>
    <x v="10"/>
    <s v="Ahmedabad"/>
    <x v="5"/>
    <x v="0"/>
    <n v="3330"/>
    <d v="2019-09-21T00:00:00"/>
    <x v="0"/>
    <m/>
    <m/>
    <m/>
    <n v="1900005789"/>
    <d v="2019-12-28T00:00:00"/>
    <x v="2"/>
    <m/>
    <x v="0"/>
    <x v="0"/>
    <m/>
    <x v="0"/>
    <m/>
    <m/>
    <m/>
    <x v="0"/>
    <x v="0"/>
    <x v="0"/>
    <x v="0"/>
    <m/>
  </r>
  <r>
    <s v="P"/>
    <x v="170"/>
    <x v="2"/>
    <m/>
    <m/>
    <x v="5"/>
    <m/>
    <x v="13"/>
    <s v="Ahmedabad"/>
    <x v="1"/>
    <x v="2"/>
    <n v="90282"/>
    <d v="2019-02-27T00:00:00"/>
    <x v="0"/>
    <m/>
    <m/>
    <m/>
    <n v="1900005910"/>
    <d v="2019-12-31T00:00:00"/>
    <x v="7"/>
    <m/>
    <x v="0"/>
    <x v="0"/>
    <m/>
    <x v="0"/>
    <m/>
    <m/>
    <m/>
    <x v="0"/>
    <x v="0"/>
    <x v="0"/>
    <x v="0"/>
    <m/>
  </r>
  <r>
    <s v="P"/>
    <x v="146"/>
    <x v="2"/>
    <m/>
    <m/>
    <x v="5"/>
    <m/>
    <x v="12"/>
    <s v="Ahmedabad"/>
    <x v="1"/>
    <x v="2"/>
    <n v="68639"/>
    <d v="2019-05-14T00:00:00"/>
    <x v="0"/>
    <m/>
    <m/>
    <m/>
    <n v="1900005911"/>
    <d v="2019-12-31T00:00:00"/>
    <x v="6"/>
    <m/>
    <x v="0"/>
    <x v="0"/>
    <m/>
    <x v="0"/>
    <m/>
    <m/>
    <m/>
    <x v="0"/>
    <x v="0"/>
    <x v="0"/>
    <x v="0"/>
    <m/>
  </r>
  <r>
    <s v="P"/>
    <x v="170"/>
    <x v="2"/>
    <m/>
    <m/>
    <x v="5"/>
    <m/>
    <x v="13"/>
    <s v="Ahmedabad"/>
    <x v="1"/>
    <x v="2"/>
    <n v="90282"/>
    <d v="2019-08-27T00:00:00"/>
    <x v="0"/>
    <m/>
    <m/>
    <m/>
    <n v="1900005912"/>
    <d v="2019-12-31T00:00:00"/>
    <x v="7"/>
    <m/>
    <x v="0"/>
    <x v="0"/>
    <m/>
    <x v="0"/>
    <m/>
    <m/>
    <m/>
    <x v="0"/>
    <x v="0"/>
    <x v="0"/>
    <x v="0"/>
    <m/>
  </r>
  <r>
    <s v="P"/>
    <x v="170"/>
    <x v="2"/>
    <m/>
    <m/>
    <x v="5"/>
    <m/>
    <x v="13"/>
    <s v="Ahmedabad"/>
    <x v="1"/>
    <x v="2"/>
    <n v="90282"/>
    <d v="2019-05-27T00:00:00"/>
    <x v="0"/>
    <m/>
    <m/>
    <m/>
    <n v="1900005913"/>
    <d v="2019-12-31T00:00:00"/>
    <x v="7"/>
    <m/>
    <x v="0"/>
    <x v="0"/>
    <m/>
    <x v="0"/>
    <m/>
    <m/>
    <m/>
    <x v="0"/>
    <x v="0"/>
    <x v="0"/>
    <x v="0"/>
    <m/>
  </r>
  <r>
    <s v="P"/>
    <x v="171"/>
    <x v="2"/>
    <m/>
    <m/>
    <x v="5"/>
    <m/>
    <x v="12"/>
    <s v="Ahmedabad"/>
    <x v="1"/>
    <x v="2"/>
    <n v="67102"/>
    <d v="2019-03-27T00:00:00"/>
    <x v="0"/>
    <m/>
    <m/>
    <m/>
    <n v="1900005915"/>
    <d v="2019-12-31T00:00:00"/>
    <x v="6"/>
    <m/>
    <x v="0"/>
    <x v="0"/>
    <m/>
    <x v="0"/>
    <m/>
    <m/>
    <m/>
    <x v="0"/>
    <x v="0"/>
    <x v="0"/>
    <x v="0"/>
    <m/>
  </r>
  <r>
    <s v="H"/>
    <x v="172"/>
    <x v="2"/>
    <m/>
    <m/>
    <x v="5"/>
    <m/>
    <x v="10"/>
    <s v="Ahmedabad"/>
    <x v="3"/>
    <x v="0"/>
    <n v="125000"/>
    <d v="2019-01-31T00:00:00"/>
    <x v="0"/>
    <m/>
    <m/>
    <m/>
    <n v="1900005959"/>
    <d v="2019-12-31T00:00:00"/>
    <x v="6"/>
    <m/>
    <x v="0"/>
    <x v="0"/>
    <m/>
    <x v="0"/>
    <m/>
    <m/>
    <m/>
    <x v="0"/>
    <x v="0"/>
    <x v="0"/>
    <x v="0"/>
    <m/>
  </r>
  <r>
    <s v="M"/>
    <x v="173"/>
    <x v="2"/>
    <m/>
    <m/>
    <x v="5"/>
    <m/>
    <x v="10"/>
    <s v="Ahmedabad"/>
    <x v="7"/>
    <x v="0"/>
    <n v="115781"/>
    <d v="2019-07-28T00:00:00"/>
    <x v="0"/>
    <m/>
    <m/>
    <m/>
    <n v="1900005960"/>
    <d v="2019-12-31T00:00:00"/>
    <x v="9"/>
    <m/>
    <x v="0"/>
    <x v="0"/>
    <m/>
    <x v="0"/>
    <m/>
    <m/>
    <m/>
    <x v="0"/>
    <x v="0"/>
    <x v="0"/>
    <x v="0"/>
    <m/>
  </r>
  <r>
    <s v="C"/>
    <x v="21"/>
    <x v="2"/>
    <m/>
    <m/>
    <x v="5"/>
    <m/>
    <x v="10"/>
    <s v="Ahmedabad"/>
    <x v="3"/>
    <x v="0"/>
    <n v="137500"/>
    <d v="2019-01-01T00:00:00"/>
    <x v="0"/>
    <m/>
    <m/>
    <m/>
    <n v="1900005961"/>
    <d v="2019-12-31T00:00:00"/>
    <x v="6"/>
    <m/>
    <x v="0"/>
    <x v="0"/>
    <m/>
    <x v="0"/>
    <m/>
    <m/>
    <m/>
    <x v="0"/>
    <x v="0"/>
    <x v="0"/>
    <x v="0"/>
    <m/>
  </r>
  <r>
    <s v="P"/>
    <x v="153"/>
    <x v="2"/>
    <m/>
    <m/>
    <x v="5"/>
    <m/>
    <x v="13"/>
    <s v="Ahmedabad"/>
    <x v="1"/>
    <x v="2"/>
    <n v="208093"/>
    <d v="2019-03-25T00:00:00"/>
    <x v="0"/>
    <m/>
    <m/>
    <m/>
    <n v="1900005962"/>
    <d v="2019-12-31T00:00:00"/>
    <x v="7"/>
    <m/>
    <x v="0"/>
    <x v="0"/>
    <m/>
    <x v="0"/>
    <m/>
    <m/>
    <m/>
    <x v="0"/>
    <x v="0"/>
    <x v="0"/>
    <x v="0"/>
    <m/>
  </r>
  <r>
    <s v="P"/>
    <x v="153"/>
    <x v="2"/>
    <m/>
    <m/>
    <x v="5"/>
    <m/>
    <x v="13"/>
    <s v="Ahmedabad"/>
    <x v="1"/>
    <x v="2"/>
    <n v="153332"/>
    <d v="2019-07-07T00:00:00"/>
    <x v="0"/>
    <m/>
    <m/>
    <m/>
    <n v="1900005964"/>
    <d v="2019-12-31T00:00:00"/>
    <x v="7"/>
    <m/>
    <x v="0"/>
    <x v="0"/>
    <m/>
    <x v="0"/>
    <m/>
    <m/>
    <m/>
    <x v="0"/>
    <x v="0"/>
    <x v="0"/>
    <x v="0"/>
    <m/>
  </r>
  <r>
    <s v="C"/>
    <x v="174"/>
    <x v="2"/>
    <m/>
    <m/>
    <x v="5"/>
    <m/>
    <x v="10"/>
    <s v="Ahmedabad"/>
    <x v="3"/>
    <x v="0"/>
    <n v="131250"/>
    <d v="2019-05-23T00:00:00"/>
    <x v="0"/>
    <m/>
    <m/>
    <m/>
    <n v="1900005965"/>
    <d v="2019-12-31T00:00:00"/>
    <x v="6"/>
    <m/>
    <x v="0"/>
    <x v="0"/>
    <m/>
    <x v="0"/>
    <m/>
    <m/>
    <m/>
    <x v="0"/>
    <x v="0"/>
    <x v="0"/>
    <x v="0"/>
    <m/>
  </r>
  <r>
    <s v="S"/>
    <x v="175"/>
    <x v="2"/>
    <m/>
    <m/>
    <x v="5"/>
    <m/>
    <x v="10"/>
    <s v="Ahmedabad"/>
    <x v="0"/>
    <x v="3"/>
    <n v="56100"/>
    <d v="2019-03-08T00:00:00"/>
    <x v="0"/>
    <m/>
    <m/>
    <m/>
    <n v="2000001072"/>
    <d v="2020-01-03T00:00:00"/>
    <x v="10"/>
    <m/>
    <x v="0"/>
    <x v="0"/>
    <m/>
    <x v="0"/>
    <m/>
    <m/>
    <m/>
    <x v="0"/>
    <x v="0"/>
    <x v="0"/>
    <x v="0"/>
    <m/>
  </r>
  <r>
    <s v="H"/>
    <x v="176"/>
    <x v="2"/>
    <m/>
    <m/>
    <x v="5"/>
    <m/>
    <x v="10"/>
    <s v="Ahmedabad"/>
    <x v="0"/>
    <x v="0"/>
    <n v="50333"/>
    <d v="2019-03-01T00:00:00"/>
    <x v="0"/>
    <m/>
    <m/>
    <m/>
    <n v="2000001076"/>
    <d v="2020-01-03T00:00:00"/>
    <x v="6"/>
    <m/>
    <x v="0"/>
    <x v="0"/>
    <m/>
    <x v="0"/>
    <m/>
    <m/>
    <m/>
    <x v="0"/>
    <x v="0"/>
    <x v="0"/>
    <x v="0"/>
    <m/>
  </r>
  <r>
    <s v="T"/>
    <x v="177"/>
    <x v="2"/>
    <m/>
    <m/>
    <x v="5"/>
    <m/>
    <x v="10"/>
    <s v="Ahmedabad"/>
    <x v="3"/>
    <x v="0"/>
    <n v="74250"/>
    <d v="2019-04-09T00:00:00"/>
    <x v="0"/>
    <m/>
    <m/>
    <m/>
    <n v="2000001082"/>
    <d v="2020-01-03T00:00:00"/>
    <x v="6"/>
    <m/>
    <x v="0"/>
    <x v="0"/>
    <m/>
    <x v="0"/>
    <m/>
    <m/>
    <m/>
    <x v="0"/>
    <x v="0"/>
    <x v="0"/>
    <x v="0"/>
    <m/>
  </r>
  <r>
    <s v="N"/>
    <x v="178"/>
    <x v="2"/>
    <m/>
    <m/>
    <x v="5"/>
    <m/>
    <x v="10"/>
    <s v="Ahmedabad"/>
    <x v="2"/>
    <x v="0"/>
    <n v="48929"/>
    <d v="2019-11-10T00:00:00"/>
    <x v="0"/>
    <m/>
    <m/>
    <m/>
    <n v="2000001083"/>
    <d v="2020-01-03T00:00:00"/>
    <x v="4"/>
    <m/>
    <x v="0"/>
    <x v="0"/>
    <m/>
    <x v="0"/>
    <m/>
    <m/>
    <m/>
    <x v="0"/>
    <x v="0"/>
    <x v="0"/>
    <x v="0"/>
    <m/>
  </r>
  <r>
    <s v="P"/>
    <x v="179"/>
    <x v="2"/>
    <m/>
    <m/>
    <x v="5"/>
    <m/>
    <x v="11"/>
    <s v="Ahmedabad"/>
    <x v="5"/>
    <x v="2"/>
    <n v="49401"/>
    <d v="2019-01-03T00:00:00"/>
    <x v="0"/>
    <m/>
    <m/>
    <m/>
    <n v="2000001086"/>
    <d v="2020-01-03T00:00:00"/>
    <x v="3"/>
    <m/>
    <x v="0"/>
    <x v="0"/>
    <m/>
    <x v="0"/>
    <m/>
    <m/>
    <m/>
    <x v="0"/>
    <x v="0"/>
    <x v="0"/>
    <x v="0"/>
    <m/>
  </r>
  <r>
    <s v="S"/>
    <x v="180"/>
    <x v="2"/>
    <m/>
    <m/>
    <x v="5"/>
    <m/>
    <x v="10"/>
    <s v="Ahmedabad"/>
    <x v="0"/>
    <x v="1"/>
    <n v="9075"/>
    <d v="2019-01-12T00:00:00"/>
    <x v="0"/>
    <m/>
    <m/>
    <m/>
    <n v="2000001563"/>
    <d v="2020-01-16T00:00:00"/>
    <x v="4"/>
    <m/>
    <x v="0"/>
    <x v="0"/>
    <m/>
    <x v="0"/>
    <m/>
    <m/>
    <m/>
    <x v="0"/>
    <x v="0"/>
    <x v="0"/>
    <x v="0"/>
    <m/>
  </r>
  <r>
    <s v="M"/>
    <x v="181"/>
    <x v="2"/>
    <m/>
    <m/>
    <x v="5"/>
    <m/>
    <x v="12"/>
    <s v="Ahmedabad"/>
    <x v="1"/>
    <x v="2"/>
    <n v="24072"/>
    <d v="2019-03-13T00:00:00"/>
    <x v="0"/>
    <m/>
    <m/>
    <m/>
    <n v="2000001567"/>
    <d v="2020-01-16T00:00:00"/>
    <x v="6"/>
    <m/>
    <x v="0"/>
    <x v="0"/>
    <m/>
    <x v="0"/>
    <m/>
    <m/>
    <m/>
    <x v="0"/>
    <x v="0"/>
    <x v="0"/>
    <x v="0"/>
    <m/>
  </r>
  <r>
    <s v="T"/>
    <x v="182"/>
    <x v="2"/>
    <m/>
    <m/>
    <x v="5"/>
    <m/>
    <x v="10"/>
    <s v="Ahmedabad"/>
    <x v="2"/>
    <x v="0"/>
    <n v="5550"/>
    <d v="2019-01-04T00:00:00"/>
    <x v="0"/>
    <m/>
    <m/>
    <m/>
    <n v="2000001570"/>
    <d v="2020-01-16T00:00:00"/>
    <x v="5"/>
    <m/>
    <x v="0"/>
    <x v="0"/>
    <m/>
    <x v="0"/>
    <m/>
    <m/>
    <m/>
    <x v="0"/>
    <x v="0"/>
    <x v="0"/>
    <x v="0"/>
    <m/>
  </r>
  <r>
    <s v="P"/>
    <x v="183"/>
    <x v="2"/>
    <m/>
    <m/>
    <x v="5"/>
    <m/>
    <x v="12"/>
    <s v="Ahmedabad"/>
    <x v="6"/>
    <x v="2"/>
    <n v="10938"/>
    <d v="2019-06-12T00:00:00"/>
    <x v="0"/>
    <m/>
    <m/>
    <m/>
    <n v="2000001575"/>
    <d v="2020-01-16T00:00:00"/>
    <x v="6"/>
    <m/>
    <x v="0"/>
    <x v="0"/>
    <m/>
    <x v="0"/>
    <m/>
    <m/>
    <m/>
    <x v="0"/>
    <x v="0"/>
    <x v="0"/>
    <x v="0"/>
    <m/>
  </r>
  <r>
    <s v="S"/>
    <x v="184"/>
    <x v="2"/>
    <m/>
    <m/>
    <x v="5"/>
    <m/>
    <x v="14"/>
    <s v="Ahmedabad"/>
    <x v="8"/>
    <x v="2"/>
    <n v="2789"/>
    <d v="2019-07-15T00:00:00"/>
    <x v="0"/>
    <m/>
    <m/>
    <m/>
    <n v="2000001579"/>
    <d v="2020-01-16T00:00:00"/>
    <x v="8"/>
    <m/>
    <x v="0"/>
    <x v="0"/>
    <m/>
    <x v="0"/>
    <m/>
    <m/>
    <m/>
    <x v="0"/>
    <x v="0"/>
    <x v="0"/>
    <x v="0"/>
    <m/>
  </r>
  <r>
    <s v="S"/>
    <x v="175"/>
    <x v="2"/>
    <m/>
    <m/>
    <x v="5"/>
    <m/>
    <x v="10"/>
    <s v="Ahmedabad"/>
    <x v="0"/>
    <x v="3"/>
    <n v="14025"/>
    <d v="2019-10-22T00:00:00"/>
    <x v="0"/>
    <m/>
    <m/>
    <m/>
    <n v="2000001583"/>
    <d v="2020-01-16T00:00:00"/>
    <x v="10"/>
    <m/>
    <x v="0"/>
    <x v="0"/>
    <m/>
    <x v="0"/>
    <m/>
    <m/>
    <m/>
    <x v="0"/>
    <x v="0"/>
    <x v="0"/>
    <x v="0"/>
    <m/>
  </r>
  <r>
    <s v="G"/>
    <x v="185"/>
    <x v="2"/>
    <m/>
    <m/>
    <x v="5"/>
    <m/>
    <x v="10"/>
    <s v="Ahmedabad"/>
    <x v="5"/>
    <x v="0"/>
    <n v="1112"/>
    <d v="2019-01-23T00:00:00"/>
    <x v="0"/>
    <m/>
    <m/>
    <m/>
    <n v="2000001589"/>
    <d v="2020-01-16T00:00:00"/>
    <x v="2"/>
    <m/>
    <x v="0"/>
    <x v="0"/>
    <m/>
    <x v="0"/>
    <m/>
    <m/>
    <m/>
    <x v="0"/>
    <x v="0"/>
    <x v="0"/>
    <x v="0"/>
    <m/>
  </r>
  <r>
    <s v="F"/>
    <x v="186"/>
    <x v="2"/>
    <m/>
    <m/>
    <x v="5"/>
    <m/>
    <x v="10"/>
    <s v="Ahmedabad"/>
    <x v="2"/>
    <x v="0"/>
    <n v="4302"/>
    <d v="2019-11-01T00:00:00"/>
    <x v="0"/>
    <m/>
    <m/>
    <m/>
    <n v="2000001598"/>
    <d v="2020-01-16T00:00:00"/>
    <x v="5"/>
    <m/>
    <x v="0"/>
    <x v="0"/>
    <m/>
    <x v="0"/>
    <m/>
    <m/>
    <m/>
    <x v="0"/>
    <x v="0"/>
    <x v="0"/>
    <x v="0"/>
    <m/>
  </r>
  <r>
    <s v="H"/>
    <x v="187"/>
    <x v="2"/>
    <m/>
    <m/>
    <x v="5"/>
    <m/>
    <x v="12"/>
    <s v="Ahmedabad"/>
    <x v="3"/>
    <x v="2"/>
    <n v="21875"/>
    <d v="2019-02-11T00:00:00"/>
    <x v="0"/>
    <m/>
    <m/>
    <m/>
    <n v="2000001604"/>
    <d v="2020-01-16T00:00:00"/>
    <x v="6"/>
    <m/>
    <x v="0"/>
    <x v="0"/>
    <m/>
    <x v="0"/>
    <m/>
    <m/>
    <m/>
    <x v="0"/>
    <x v="0"/>
    <x v="0"/>
    <x v="0"/>
    <m/>
  </r>
  <r>
    <m/>
    <x v="34"/>
    <x v="2"/>
    <m/>
    <m/>
    <x v="5"/>
    <m/>
    <x v="13"/>
    <s v="Ahmedabad"/>
    <x v="9"/>
    <x v="3"/>
    <m/>
    <m/>
    <x v="2"/>
    <m/>
    <m/>
    <m/>
    <m/>
    <m/>
    <x v="7"/>
    <s v="Mahendra"/>
    <x v="1"/>
    <x v="0"/>
    <m/>
    <x v="0"/>
    <m/>
    <m/>
    <m/>
    <x v="0"/>
    <x v="0"/>
    <x v="0"/>
    <x v="0"/>
    <m/>
  </r>
  <r>
    <m/>
    <x v="34"/>
    <x v="2"/>
    <m/>
    <m/>
    <x v="5"/>
    <m/>
    <x v="13"/>
    <s v="Ahmedabad"/>
    <x v="9"/>
    <x v="3"/>
    <m/>
    <m/>
    <x v="2"/>
    <m/>
    <m/>
    <m/>
    <m/>
    <m/>
    <x v="7"/>
    <m/>
    <x v="1"/>
    <x v="0"/>
    <m/>
    <x v="0"/>
    <m/>
    <m/>
    <m/>
    <x v="0"/>
    <x v="0"/>
    <x v="0"/>
    <x v="0"/>
    <m/>
  </r>
  <r>
    <m/>
    <x v="34"/>
    <x v="2"/>
    <m/>
    <m/>
    <x v="5"/>
    <m/>
    <x v="13"/>
    <s v="Ahmedabad"/>
    <x v="9"/>
    <x v="3"/>
    <m/>
    <m/>
    <x v="2"/>
    <m/>
    <m/>
    <m/>
    <m/>
    <m/>
    <x v="7"/>
    <s v="Akash"/>
    <x v="2"/>
    <x v="0"/>
    <m/>
    <x v="0"/>
    <m/>
    <m/>
    <m/>
    <x v="0"/>
    <x v="0"/>
    <x v="0"/>
    <x v="0"/>
    <m/>
  </r>
  <r>
    <m/>
    <x v="34"/>
    <x v="2"/>
    <m/>
    <m/>
    <x v="5"/>
    <m/>
    <x v="13"/>
    <s v="Ahmedabad"/>
    <x v="9"/>
    <x v="3"/>
    <m/>
    <m/>
    <x v="2"/>
    <m/>
    <m/>
    <m/>
    <m/>
    <m/>
    <x v="7"/>
    <s v="Shivam"/>
    <x v="3"/>
    <x v="0"/>
    <m/>
    <x v="0"/>
    <m/>
    <m/>
    <m/>
    <x v="0"/>
    <x v="0"/>
    <x v="0"/>
    <x v="0"/>
    <m/>
  </r>
  <r>
    <m/>
    <x v="34"/>
    <x v="2"/>
    <m/>
    <m/>
    <x v="5"/>
    <m/>
    <x v="13"/>
    <s v="Ahmedabad"/>
    <x v="9"/>
    <x v="3"/>
    <m/>
    <m/>
    <x v="2"/>
    <m/>
    <m/>
    <m/>
    <m/>
    <m/>
    <x v="7"/>
    <s v="Surya"/>
    <x v="4"/>
    <x v="0"/>
    <m/>
    <x v="0"/>
    <m/>
    <m/>
    <m/>
    <x v="0"/>
    <x v="0"/>
    <x v="0"/>
    <x v="0"/>
    <m/>
  </r>
  <r>
    <m/>
    <x v="34"/>
    <x v="2"/>
    <m/>
    <m/>
    <x v="5"/>
    <m/>
    <x v="13"/>
    <s v="Ahmedabad"/>
    <x v="9"/>
    <x v="3"/>
    <m/>
    <m/>
    <x v="2"/>
    <m/>
    <m/>
    <m/>
    <m/>
    <m/>
    <x v="7"/>
    <s v="Muralidharan VS"/>
    <x v="4"/>
    <x v="0"/>
    <m/>
    <x v="0"/>
    <m/>
    <m/>
    <m/>
    <x v="0"/>
    <x v="0"/>
    <x v="0"/>
    <x v="0"/>
    <m/>
  </r>
  <r>
    <m/>
    <x v="34"/>
    <x v="2"/>
    <m/>
    <m/>
    <x v="5"/>
    <m/>
    <x v="13"/>
    <s v="Ahmedabad"/>
    <x v="9"/>
    <x v="3"/>
    <m/>
    <m/>
    <x v="2"/>
    <m/>
    <m/>
    <m/>
    <m/>
    <m/>
    <x v="7"/>
    <s v="Srikanth Boddu"/>
    <x v="5"/>
    <x v="0"/>
    <m/>
    <x v="0"/>
    <m/>
    <m/>
    <m/>
    <x v="0"/>
    <x v="0"/>
    <x v="0"/>
    <x v="0"/>
    <m/>
  </r>
  <r>
    <m/>
    <x v="34"/>
    <x v="2"/>
    <m/>
    <m/>
    <x v="5"/>
    <m/>
    <x v="11"/>
    <s v="Ahmedabad"/>
    <x v="9"/>
    <x v="3"/>
    <m/>
    <m/>
    <x v="2"/>
    <m/>
    <m/>
    <m/>
    <m/>
    <m/>
    <x v="3"/>
    <s v="Ganesh H"/>
    <x v="6"/>
    <x v="0"/>
    <m/>
    <x v="0"/>
    <m/>
    <m/>
    <m/>
    <x v="0"/>
    <x v="0"/>
    <x v="0"/>
    <x v="0"/>
    <m/>
  </r>
  <r>
    <m/>
    <x v="34"/>
    <x v="2"/>
    <m/>
    <m/>
    <x v="5"/>
    <m/>
    <x v="11"/>
    <s v="Ahmedabad"/>
    <x v="9"/>
    <x v="3"/>
    <m/>
    <m/>
    <x v="2"/>
    <m/>
    <m/>
    <m/>
    <m/>
    <m/>
    <x v="3"/>
    <s v="Usha G"/>
    <x v="3"/>
    <x v="0"/>
    <m/>
    <x v="0"/>
    <m/>
    <m/>
    <m/>
    <x v="0"/>
    <x v="0"/>
    <x v="0"/>
    <x v="0"/>
    <m/>
  </r>
  <r>
    <m/>
    <x v="34"/>
    <x v="2"/>
    <m/>
    <m/>
    <x v="5"/>
    <m/>
    <x v="11"/>
    <s v="Ahmedabad"/>
    <x v="9"/>
    <x v="3"/>
    <m/>
    <m/>
    <x v="2"/>
    <m/>
    <m/>
    <m/>
    <m/>
    <m/>
    <x v="3"/>
    <s v="Usha G"/>
    <x v="7"/>
    <x v="0"/>
    <m/>
    <x v="0"/>
    <m/>
    <m/>
    <m/>
    <x v="0"/>
    <x v="0"/>
    <x v="0"/>
    <x v="0"/>
    <m/>
  </r>
  <r>
    <m/>
    <x v="34"/>
    <x v="2"/>
    <m/>
    <m/>
    <x v="5"/>
    <m/>
    <x v="11"/>
    <s v="Ahmedabad"/>
    <x v="9"/>
    <x v="3"/>
    <m/>
    <m/>
    <x v="2"/>
    <m/>
    <m/>
    <m/>
    <m/>
    <m/>
    <x v="3"/>
    <s v="Usha G"/>
    <x v="8"/>
    <x v="0"/>
    <m/>
    <x v="0"/>
    <m/>
    <m/>
    <m/>
    <x v="0"/>
    <x v="0"/>
    <x v="0"/>
    <x v="0"/>
    <m/>
  </r>
  <r>
    <m/>
    <x v="34"/>
    <x v="2"/>
    <m/>
    <m/>
    <x v="5"/>
    <m/>
    <x v="11"/>
    <s v="Ahmedabad"/>
    <x v="9"/>
    <x v="3"/>
    <m/>
    <m/>
    <x v="2"/>
    <m/>
    <m/>
    <m/>
    <m/>
    <m/>
    <x v="3"/>
    <s v="Usha G"/>
    <x v="4"/>
    <x v="0"/>
    <m/>
    <x v="0"/>
    <m/>
    <m/>
    <m/>
    <x v="0"/>
    <x v="0"/>
    <x v="0"/>
    <x v="0"/>
    <m/>
  </r>
  <r>
    <m/>
    <x v="34"/>
    <x v="2"/>
    <m/>
    <m/>
    <x v="5"/>
    <m/>
    <x v="14"/>
    <s v="Ahmedabad"/>
    <x v="9"/>
    <x v="3"/>
    <m/>
    <m/>
    <x v="2"/>
    <m/>
    <m/>
    <m/>
    <m/>
    <m/>
    <x v="8"/>
    <s v="Srikanth Boddu"/>
    <x v="9"/>
    <x v="0"/>
    <m/>
    <x v="0"/>
    <m/>
    <m/>
    <m/>
    <x v="0"/>
    <x v="0"/>
    <x v="0"/>
    <x v="0"/>
    <m/>
  </r>
  <r>
    <m/>
    <x v="34"/>
    <x v="2"/>
    <m/>
    <m/>
    <x v="5"/>
    <m/>
    <x v="14"/>
    <s v="Ahmedabad"/>
    <x v="9"/>
    <x v="3"/>
    <m/>
    <m/>
    <x v="2"/>
    <m/>
    <m/>
    <m/>
    <m/>
    <m/>
    <x v="8"/>
    <s v="Harsha"/>
    <x v="9"/>
    <x v="0"/>
    <m/>
    <x v="0"/>
    <m/>
    <m/>
    <m/>
    <x v="0"/>
    <x v="0"/>
    <x v="0"/>
    <x v="0"/>
    <m/>
  </r>
  <r>
    <m/>
    <x v="34"/>
    <x v="2"/>
    <m/>
    <m/>
    <x v="5"/>
    <m/>
    <x v="14"/>
    <s v="Ahmedabad"/>
    <x v="9"/>
    <x v="3"/>
    <m/>
    <m/>
    <x v="2"/>
    <m/>
    <m/>
    <m/>
    <m/>
    <m/>
    <x v="8"/>
    <s v="Usha G"/>
    <x v="5"/>
    <x v="0"/>
    <m/>
    <x v="0"/>
    <m/>
    <m/>
    <m/>
    <x v="0"/>
    <x v="0"/>
    <x v="0"/>
    <x v="0"/>
    <m/>
  </r>
  <r>
    <m/>
    <x v="34"/>
    <x v="2"/>
    <m/>
    <m/>
    <x v="5"/>
    <m/>
    <x v="14"/>
    <s v="Ahmedabad"/>
    <x v="9"/>
    <x v="3"/>
    <m/>
    <m/>
    <x v="2"/>
    <m/>
    <m/>
    <m/>
    <m/>
    <m/>
    <x v="8"/>
    <m/>
    <x v="10"/>
    <x v="0"/>
    <m/>
    <x v="0"/>
    <m/>
    <m/>
    <m/>
    <x v="0"/>
    <x v="0"/>
    <x v="0"/>
    <x v="0"/>
    <m/>
  </r>
  <r>
    <m/>
    <x v="34"/>
    <x v="2"/>
    <m/>
    <m/>
    <x v="5"/>
    <m/>
    <x v="16"/>
    <s v="Ahmedabad"/>
    <x v="9"/>
    <x v="3"/>
    <m/>
    <m/>
    <x v="2"/>
    <m/>
    <m/>
    <m/>
    <m/>
    <m/>
    <x v="12"/>
    <s v="jamuna"/>
    <x v="3"/>
    <x v="0"/>
    <m/>
    <x v="0"/>
    <m/>
    <m/>
    <m/>
    <x v="0"/>
    <x v="0"/>
    <x v="0"/>
    <x v="0"/>
    <m/>
  </r>
  <r>
    <m/>
    <x v="34"/>
    <x v="2"/>
    <m/>
    <m/>
    <x v="5"/>
    <m/>
    <x v="16"/>
    <s v="Ahmedabad"/>
    <x v="9"/>
    <x v="3"/>
    <m/>
    <m/>
    <x v="2"/>
    <m/>
    <m/>
    <m/>
    <m/>
    <m/>
    <x v="12"/>
    <m/>
    <x v="4"/>
    <x v="0"/>
    <m/>
    <x v="0"/>
    <m/>
    <m/>
    <m/>
    <x v="0"/>
    <x v="0"/>
    <x v="0"/>
    <x v="0"/>
    <m/>
  </r>
  <r>
    <m/>
    <x v="34"/>
    <x v="2"/>
    <m/>
    <m/>
    <x v="5"/>
    <m/>
    <x v="16"/>
    <s v="Ahmedabad"/>
    <x v="9"/>
    <x v="3"/>
    <m/>
    <m/>
    <x v="2"/>
    <m/>
    <m/>
    <m/>
    <m/>
    <m/>
    <x v="12"/>
    <s v="Jeyaraman N, Srikanth Boddu"/>
    <x v="9"/>
    <x v="0"/>
    <m/>
    <x v="0"/>
    <m/>
    <m/>
    <m/>
    <x v="0"/>
    <x v="0"/>
    <x v="0"/>
    <x v="0"/>
    <m/>
  </r>
  <r>
    <m/>
    <x v="34"/>
    <x v="2"/>
    <m/>
    <m/>
    <x v="5"/>
    <m/>
    <x v="16"/>
    <s v="Ahmedabad"/>
    <x v="9"/>
    <x v="3"/>
    <m/>
    <m/>
    <x v="2"/>
    <m/>
    <m/>
    <m/>
    <m/>
    <m/>
    <x v="12"/>
    <m/>
    <x v="5"/>
    <x v="0"/>
    <m/>
    <x v="0"/>
    <m/>
    <m/>
    <m/>
    <x v="0"/>
    <x v="0"/>
    <x v="0"/>
    <x v="0"/>
    <m/>
  </r>
  <r>
    <m/>
    <x v="34"/>
    <x v="2"/>
    <m/>
    <m/>
    <x v="5"/>
    <m/>
    <x v="17"/>
    <s v="Ahmedabad"/>
    <x v="9"/>
    <x v="3"/>
    <m/>
    <m/>
    <x v="2"/>
    <m/>
    <m/>
    <m/>
    <m/>
    <m/>
    <x v="13"/>
    <s v="Ankush"/>
    <x v="7"/>
    <x v="0"/>
    <m/>
    <x v="0"/>
    <m/>
    <m/>
    <m/>
    <x v="0"/>
    <x v="0"/>
    <x v="0"/>
    <x v="0"/>
    <m/>
  </r>
  <r>
    <m/>
    <x v="34"/>
    <x v="2"/>
    <m/>
    <m/>
    <x v="5"/>
    <m/>
    <x v="17"/>
    <s v="Ahmedabad"/>
    <x v="9"/>
    <x v="3"/>
    <m/>
    <m/>
    <x v="2"/>
    <m/>
    <m/>
    <m/>
    <m/>
    <m/>
    <x v="13"/>
    <m/>
    <x v="11"/>
    <x v="0"/>
    <m/>
    <x v="0"/>
    <m/>
    <m/>
    <m/>
    <x v="0"/>
    <x v="0"/>
    <x v="0"/>
    <x v="0"/>
    <m/>
  </r>
  <r>
    <m/>
    <x v="34"/>
    <x v="2"/>
    <m/>
    <m/>
    <x v="5"/>
    <m/>
    <x v="17"/>
    <s v="Ahmedabad"/>
    <x v="9"/>
    <x v="3"/>
    <m/>
    <m/>
    <x v="2"/>
    <m/>
    <m/>
    <m/>
    <m/>
    <m/>
    <x v="13"/>
    <s v="Sanskriti"/>
    <x v="11"/>
    <x v="0"/>
    <m/>
    <x v="0"/>
    <m/>
    <m/>
    <m/>
    <x v="0"/>
    <x v="0"/>
    <x v="0"/>
    <x v="0"/>
    <m/>
  </r>
  <r>
    <m/>
    <x v="34"/>
    <x v="2"/>
    <m/>
    <m/>
    <x v="5"/>
    <m/>
    <x v="18"/>
    <s v="Ahmedabad"/>
    <x v="9"/>
    <x v="3"/>
    <m/>
    <m/>
    <x v="2"/>
    <m/>
    <m/>
    <m/>
    <m/>
    <m/>
    <x v="14"/>
    <s v="Aditya"/>
    <x v="12"/>
    <x v="0"/>
    <m/>
    <x v="0"/>
    <m/>
    <m/>
    <m/>
    <x v="0"/>
    <x v="0"/>
    <x v="0"/>
    <x v="0"/>
    <m/>
  </r>
  <r>
    <m/>
    <x v="34"/>
    <x v="2"/>
    <m/>
    <m/>
    <x v="5"/>
    <m/>
    <x v="18"/>
    <s v="Ahmedabad"/>
    <x v="9"/>
    <x v="3"/>
    <m/>
    <m/>
    <x v="2"/>
    <m/>
    <m/>
    <m/>
    <m/>
    <m/>
    <x v="14"/>
    <s v="Jeyaraman N, Chitra S"/>
    <x v="12"/>
    <x v="0"/>
    <m/>
    <x v="0"/>
    <m/>
    <m/>
    <m/>
    <x v="0"/>
    <x v="0"/>
    <x v="0"/>
    <x v="0"/>
    <m/>
  </r>
  <r>
    <m/>
    <x v="34"/>
    <x v="2"/>
    <m/>
    <m/>
    <x v="5"/>
    <m/>
    <x v="18"/>
    <s v="Ahmedabad"/>
    <x v="9"/>
    <x v="3"/>
    <m/>
    <m/>
    <x v="2"/>
    <m/>
    <m/>
    <m/>
    <m/>
    <m/>
    <x v="14"/>
    <s v="Srikanth Boddu"/>
    <x v="12"/>
    <x v="0"/>
    <m/>
    <x v="0"/>
    <m/>
    <m/>
    <m/>
    <x v="0"/>
    <x v="0"/>
    <x v="0"/>
    <x v="0"/>
    <m/>
  </r>
  <r>
    <m/>
    <x v="34"/>
    <x v="2"/>
    <m/>
    <m/>
    <x v="5"/>
    <m/>
    <x v="18"/>
    <s v="Ahmedabad"/>
    <x v="9"/>
    <x v="3"/>
    <m/>
    <m/>
    <x v="2"/>
    <m/>
    <m/>
    <m/>
    <m/>
    <m/>
    <x v="14"/>
    <s v="Srikanth Boddu"/>
    <x v="13"/>
    <x v="0"/>
    <m/>
    <x v="0"/>
    <m/>
    <m/>
    <m/>
    <x v="0"/>
    <x v="0"/>
    <x v="0"/>
    <x v="0"/>
    <m/>
  </r>
  <r>
    <m/>
    <x v="34"/>
    <x v="2"/>
    <m/>
    <m/>
    <x v="5"/>
    <m/>
    <x v="19"/>
    <s v="Ahmedabad"/>
    <x v="9"/>
    <x v="3"/>
    <m/>
    <m/>
    <x v="2"/>
    <m/>
    <m/>
    <m/>
    <m/>
    <m/>
    <x v="15"/>
    <s v="Jeyaraman N"/>
    <x v="9"/>
    <x v="0"/>
    <m/>
    <x v="0"/>
    <m/>
    <m/>
    <m/>
    <x v="0"/>
    <x v="0"/>
    <x v="0"/>
    <x v="0"/>
    <m/>
  </r>
  <r>
    <m/>
    <x v="34"/>
    <x v="2"/>
    <m/>
    <m/>
    <x v="5"/>
    <m/>
    <x v="19"/>
    <s v="Ahmedabad"/>
    <x v="9"/>
    <x v="3"/>
    <m/>
    <m/>
    <x v="2"/>
    <m/>
    <m/>
    <m/>
    <m/>
    <m/>
    <x v="15"/>
    <s v="Jeyaraman N"/>
    <x v="5"/>
    <x v="0"/>
    <m/>
    <x v="0"/>
    <m/>
    <m/>
    <m/>
    <x v="0"/>
    <x v="0"/>
    <x v="0"/>
    <x v="0"/>
    <m/>
  </r>
  <r>
    <m/>
    <x v="34"/>
    <x v="2"/>
    <m/>
    <m/>
    <x v="5"/>
    <m/>
    <x v="19"/>
    <s v="Ahmedabad"/>
    <x v="9"/>
    <x v="3"/>
    <m/>
    <m/>
    <x v="2"/>
    <m/>
    <m/>
    <m/>
    <m/>
    <m/>
    <x v="15"/>
    <s v="Jeyaraman N"/>
    <x v="12"/>
    <x v="0"/>
    <m/>
    <x v="0"/>
    <m/>
    <m/>
    <m/>
    <x v="0"/>
    <x v="0"/>
    <x v="0"/>
    <x v="0"/>
    <m/>
  </r>
  <r>
    <m/>
    <x v="34"/>
    <x v="2"/>
    <m/>
    <m/>
    <x v="5"/>
    <m/>
    <x v="20"/>
    <s v="Ahmedabad"/>
    <x v="9"/>
    <x v="3"/>
    <m/>
    <m/>
    <x v="2"/>
    <m/>
    <m/>
    <m/>
    <m/>
    <m/>
    <x v="16"/>
    <s v="Jeyaraman N"/>
    <x v="13"/>
    <x v="0"/>
    <m/>
    <x v="0"/>
    <m/>
    <m/>
    <m/>
    <x v="0"/>
    <x v="0"/>
    <x v="0"/>
    <x v="0"/>
    <m/>
  </r>
  <r>
    <m/>
    <x v="34"/>
    <x v="2"/>
    <m/>
    <m/>
    <x v="5"/>
    <m/>
    <x v="20"/>
    <s v="Ahmedabad"/>
    <x v="9"/>
    <x v="3"/>
    <m/>
    <m/>
    <x v="2"/>
    <m/>
    <m/>
    <m/>
    <m/>
    <m/>
    <x v="16"/>
    <m/>
    <x v="11"/>
    <x v="0"/>
    <m/>
    <x v="0"/>
    <m/>
    <m/>
    <m/>
    <x v="0"/>
    <x v="0"/>
    <x v="0"/>
    <x v="0"/>
    <m/>
  </r>
  <r>
    <m/>
    <x v="34"/>
    <x v="2"/>
    <m/>
    <m/>
    <x v="5"/>
    <m/>
    <x v="15"/>
    <s v="Ahmedabad"/>
    <x v="9"/>
    <x v="3"/>
    <m/>
    <m/>
    <x v="2"/>
    <m/>
    <m/>
    <m/>
    <m/>
    <m/>
    <x v="11"/>
    <s v="Jeyaraman N"/>
    <x v="13"/>
    <x v="0"/>
    <m/>
    <x v="0"/>
    <m/>
    <m/>
    <m/>
    <x v="0"/>
    <x v="0"/>
    <x v="0"/>
    <x v="0"/>
    <m/>
  </r>
  <r>
    <m/>
    <x v="34"/>
    <x v="2"/>
    <m/>
    <m/>
    <x v="5"/>
    <m/>
    <x v="15"/>
    <s v="Ahmedabad"/>
    <x v="9"/>
    <x v="3"/>
    <m/>
    <m/>
    <x v="2"/>
    <m/>
    <m/>
    <m/>
    <m/>
    <m/>
    <x v="11"/>
    <s v="Jeyaraman N, Chitra S"/>
    <x v="9"/>
    <x v="0"/>
    <m/>
    <x v="0"/>
    <m/>
    <m/>
    <m/>
    <x v="0"/>
    <x v="0"/>
    <x v="0"/>
    <x v="0"/>
    <m/>
  </r>
  <r>
    <m/>
    <x v="34"/>
    <x v="2"/>
    <m/>
    <m/>
    <x v="2"/>
    <m/>
    <x v="10"/>
    <m/>
    <x v="9"/>
    <x v="3"/>
    <m/>
    <m/>
    <x v="2"/>
    <m/>
    <m/>
    <m/>
    <m/>
    <m/>
    <x v="8"/>
    <m/>
    <x v="0"/>
    <x v="1"/>
    <s v="OPP1900001042"/>
    <x v="1"/>
    <n v="8000000"/>
    <n v="400000"/>
    <d v="2019-11-13T00:00:00"/>
    <x v="1"/>
    <x v="1"/>
    <x v="1"/>
    <x v="1"/>
    <s v="Group Medical"/>
  </r>
  <r>
    <m/>
    <x v="34"/>
    <x v="2"/>
    <m/>
    <m/>
    <x v="2"/>
    <m/>
    <x v="10"/>
    <m/>
    <x v="9"/>
    <x v="3"/>
    <m/>
    <m/>
    <x v="2"/>
    <m/>
    <m/>
    <m/>
    <m/>
    <m/>
    <x v="3"/>
    <m/>
    <x v="0"/>
    <x v="2"/>
    <s v="OPP1900001047"/>
    <x v="2"/>
    <n v="200000"/>
    <n v="30000"/>
    <d v="2020-03-31T00:00:00"/>
    <x v="1"/>
    <x v="1"/>
    <x v="1"/>
    <x v="1"/>
    <s v="Group Personal Accident"/>
  </r>
  <r>
    <m/>
    <x v="34"/>
    <x v="2"/>
    <m/>
    <m/>
    <x v="0"/>
    <m/>
    <x v="10"/>
    <m/>
    <x v="9"/>
    <x v="3"/>
    <m/>
    <m/>
    <x v="2"/>
    <m/>
    <m/>
    <m/>
    <m/>
    <m/>
    <x v="3"/>
    <m/>
    <x v="0"/>
    <x v="3"/>
    <s v="OPP1900001048"/>
    <x v="2"/>
    <n v="0"/>
    <n v="100000"/>
    <d v="2020-06-30T00:00:00"/>
    <x v="1"/>
    <x v="1"/>
    <x v="2"/>
    <x v="2"/>
    <s v="Charterers' Liability Policy"/>
  </r>
  <r>
    <m/>
    <x v="34"/>
    <x v="2"/>
    <m/>
    <m/>
    <x v="0"/>
    <m/>
    <x v="10"/>
    <m/>
    <x v="9"/>
    <x v="3"/>
    <m/>
    <m/>
    <x v="2"/>
    <m/>
    <m/>
    <m/>
    <m/>
    <m/>
    <x v="3"/>
    <m/>
    <x v="0"/>
    <x v="4"/>
    <s v="OPP1900001050"/>
    <x v="2"/>
    <n v="0"/>
    <n v="100000"/>
    <d v="2020-03-31T00:00:00"/>
    <x v="1"/>
    <x v="1"/>
    <x v="2"/>
    <x v="2"/>
    <s v="Charterers' Liability Policy"/>
  </r>
  <r>
    <m/>
    <x v="34"/>
    <x v="2"/>
    <m/>
    <m/>
    <x v="3"/>
    <m/>
    <x v="10"/>
    <m/>
    <x v="9"/>
    <x v="3"/>
    <m/>
    <m/>
    <x v="2"/>
    <m/>
    <m/>
    <m/>
    <m/>
    <m/>
    <x v="3"/>
    <m/>
    <x v="0"/>
    <x v="5"/>
    <s v="OPP1900001051"/>
    <x v="2"/>
    <n v="1200000"/>
    <n v="100000"/>
    <d v="2020-03-31T00:00:00"/>
    <x v="1"/>
    <x v="1"/>
    <x v="3"/>
    <x v="3"/>
    <s v="Trade Credit Insurance"/>
  </r>
  <r>
    <m/>
    <x v="34"/>
    <x v="2"/>
    <m/>
    <m/>
    <x v="4"/>
    <m/>
    <x v="10"/>
    <m/>
    <x v="9"/>
    <x v="3"/>
    <m/>
    <m/>
    <x v="2"/>
    <m/>
    <m/>
    <m/>
    <m/>
    <m/>
    <x v="3"/>
    <m/>
    <x v="0"/>
    <x v="6"/>
    <s v="OPP1900001052"/>
    <x v="2"/>
    <n v="0"/>
    <n v="100000"/>
    <d v="2020-05-31T00:00:00"/>
    <x v="1"/>
    <x v="1"/>
    <x v="4"/>
    <x v="4"/>
    <s v="Commercial General Liability"/>
  </r>
  <r>
    <m/>
    <x v="34"/>
    <x v="2"/>
    <m/>
    <m/>
    <x v="0"/>
    <m/>
    <x v="10"/>
    <m/>
    <x v="9"/>
    <x v="3"/>
    <m/>
    <m/>
    <x v="2"/>
    <m/>
    <m/>
    <m/>
    <m/>
    <m/>
    <x v="3"/>
    <m/>
    <x v="0"/>
    <x v="7"/>
    <s v="OPP1900001053"/>
    <x v="2"/>
    <n v="0"/>
    <n v="100000"/>
    <d v="2020-05-31T00:00:00"/>
    <x v="1"/>
    <x v="1"/>
    <x v="2"/>
    <x v="2"/>
    <s v="Charterers' Liability Policy"/>
  </r>
  <r>
    <m/>
    <x v="34"/>
    <x v="2"/>
    <m/>
    <m/>
    <x v="2"/>
    <m/>
    <x v="10"/>
    <m/>
    <x v="9"/>
    <x v="3"/>
    <m/>
    <m/>
    <x v="2"/>
    <m/>
    <m/>
    <m/>
    <m/>
    <m/>
    <x v="3"/>
    <m/>
    <x v="0"/>
    <x v="8"/>
    <s v="OPP1900001054"/>
    <x v="2"/>
    <n v="0"/>
    <n v="125000"/>
    <d v="2020-06-30T00:00:00"/>
    <x v="1"/>
    <x v="1"/>
    <x v="1"/>
    <x v="1"/>
    <s v="Group Medical"/>
  </r>
  <r>
    <m/>
    <x v="34"/>
    <x v="2"/>
    <m/>
    <m/>
    <x v="0"/>
    <m/>
    <x v="10"/>
    <m/>
    <x v="9"/>
    <x v="3"/>
    <m/>
    <m/>
    <x v="2"/>
    <m/>
    <m/>
    <m/>
    <m/>
    <m/>
    <x v="3"/>
    <m/>
    <x v="0"/>
    <x v="9"/>
    <s v="OPP1900001055"/>
    <x v="2"/>
    <n v="0"/>
    <n v="100000"/>
    <d v="2020-03-31T00:00:00"/>
    <x v="1"/>
    <x v="1"/>
    <x v="2"/>
    <x v="2"/>
    <s v="Charterers' Liability Policy"/>
  </r>
  <r>
    <m/>
    <x v="34"/>
    <x v="2"/>
    <m/>
    <m/>
    <x v="0"/>
    <m/>
    <x v="10"/>
    <m/>
    <x v="9"/>
    <x v="3"/>
    <m/>
    <m/>
    <x v="2"/>
    <m/>
    <m/>
    <m/>
    <m/>
    <m/>
    <x v="14"/>
    <m/>
    <x v="0"/>
    <x v="10"/>
    <s v="OPP1900001056"/>
    <x v="3"/>
    <n v="0"/>
    <n v="200000"/>
    <d v="2020-03-31T00:00:00"/>
    <x v="1"/>
    <x v="1"/>
    <x v="2"/>
    <x v="2"/>
    <s v="Charterers' Liability Policy"/>
  </r>
  <r>
    <m/>
    <x v="34"/>
    <x v="2"/>
    <m/>
    <m/>
    <x v="2"/>
    <m/>
    <x v="10"/>
    <m/>
    <x v="9"/>
    <x v="3"/>
    <m/>
    <m/>
    <x v="2"/>
    <m/>
    <m/>
    <m/>
    <m/>
    <m/>
    <x v="14"/>
    <m/>
    <x v="0"/>
    <x v="11"/>
    <s v="OPP1900001057"/>
    <x v="3"/>
    <n v="0"/>
    <n v="75000"/>
    <d v="2020-03-31T00:00:00"/>
    <x v="1"/>
    <x v="1"/>
    <x v="1"/>
    <x v="1"/>
    <s v="Group Medical"/>
  </r>
  <r>
    <m/>
    <x v="34"/>
    <x v="2"/>
    <m/>
    <m/>
    <x v="2"/>
    <m/>
    <x v="10"/>
    <m/>
    <x v="9"/>
    <x v="3"/>
    <m/>
    <m/>
    <x v="2"/>
    <m/>
    <m/>
    <m/>
    <m/>
    <m/>
    <x v="14"/>
    <m/>
    <x v="0"/>
    <x v="12"/>
    <s v="OPP1900001058"/>
    <x v="3"/>
    <n v="0"/>
    <n v="25000"/>
    <d v="2020-03-31T00:00:00"/>
    <x v="1"/>
    <x v="1"/>
    <x v="1"/>
    <x v="1"/>
    <s v="Group Personal Accident"/>
  </r>
  <r>
    <m/>
    <x v="34"/>
    <x v="2"/>
    <m/>
    <m/>
    <x v="2"/>
    <m/>
    <x v="10"/>
    <m/>
    <x v="9"/>
    <x v="3"/>
    <m/>
    <m/>
    <x v="2"/>
    <m/>
    <m/>
    <m/>
    <m/>
    <m/>
    <x v="14"/>
    <m/>
    <x v="0"/>
    <x v="13"/>
    <s v="OPP1900001072"/>
    <x v="3"/>
    <n v="2000000"/>
    <n v="150000"/>
    <d v="2020-05-31T00:00:00"/>
    <x v="1"/>
    <x v="1"/>
    <x v="1"/>
    <x v="1"/>
    <s v="Group Medical"/>
  </r>
  <r>
    <m/>
    <x v="34"/>
    <x v="2"/>
    <m/>
    <m/>
    <x v="4"/>
    <m/>
    <x v="10"/>
    <m/>
    <x v="9"/>
    <x v="3"/>
    <m/>
    <m/>
    <x v="2"/>
    <m/>
    <m/>
    <m/>
    <m/>
    <m/>
    <x v="14"/>
    <m/>
    <x v="0"/>
    <x v="14"/>
    <s v="OPP1900001138"/>
    <x v="3"/>
    <n v="500000"/>
    <n v="75000"/>
    <d v="2020-05-31T00:00:00"/>
    <x v="1"/>
    <x v="1"/>
    <x v="4"/>
    <x v="4"/>
    <s v="Cyber Liability Insurance"/>
  </r>
  <r>
    <m/>
    <x v="34"/>
    <x v="2"/>
    <m/>
    <m/>
    <x v="2"/>
    <m/>
    <x v="10"/>
    <m/>
    <x v="9"/>
    <x v="3"/>
    <m/>
    <m/>
    <x v="2"/>
    <m/>
    <m/>
    <m/>
    <m/>
    <m/>
    <x v="8"/>
    <m/>
    <x v="0"/>
    <x v="15"/>
    <s v="OPP1900001222"/>
    <x v="1"/>
    <n v="2500000"/>
    <n v="125000"/>
    <d v="2019-12-01T00:00:00"/>
    <x v="1"/>
    <x v="1"/>
    <x v="1"/>
    <x v="1"/>
    <s v="Group Medical"/>
  </r>
  <r>
    <m/>
    <x v="34"/>
    <x v="2"/>
    <m/>
    <m/>
    <x v="2"/>
    <m/>
    <x v="10"/>
    <m/>
    <x v="9"/>
    <x v="3"/>
    <m/>
    <m/>
    <x v="2"/>
    <m/>
    <m/>
    <m/>
    <m/>
    <m/>
    <x v="11"/>
    <m/>
    <x v="0"/>
    <x v="16"/>
    <s v="OPP1900001364"/>
    <x v="4"/>
    <n v="1400000"/>
    <n v="100000"/>
    <d v="2019-12-09T00:00:00"/>
    <x v="1"/>
    <x v="1"/>
    <x v="1"/>
    <x v="1"/>
    <s v="Group Medical"/>
  </r>
  <r>
    <m/>
    <x v="34"/>
    <x v="2"/>
    <m/>
    <m/>
    <x v="3"/>
    <m/>
    <x v="10"/>
    <m/>
    <x v="9"/>
    <x v="3"/>
    <m/>
    <m/>
    <x v="2"/>
    <m/>
    <m/>
    <m/>
    <m/>
    <m/>
    <x v="11"/>
    <m/>
    <x v="0"/>
    <x v="17"/>
    <s v="OPP1900001365"/>
    <x v="4"/>
    <n v="4500000"/>
    <n v="350000"/>
    <d v="2019-12-11T00:00:00"/>
    <x v="1"/>
    <x v="1"/>
    <x v="1"/>
    <x v="3"/>
    <s v="Group Medical"/>
  </r>
  <r>
    <m/>
    <x v="34"/>
    <x v="2"/>
    <m/>
    <m/>
    <x v="2"/>
    <m/>
    <x v="10"/>
    <m/>
    <x v="9"/>
    <x v="3"/>
    <m/>
    <m/>
    <x v="2"/>
    <m/>
    <m/>
    <m/>
    <m/>
    <m/>
    <x v="8"/>
    <m/>
    <x v="0"/>
    <x v="18"/>
    <s v="OPP1900001366"/>
    <x v="1"/>
    <n v="9500000"/>
    <n v="200000"/>
    <d v="2019-09-30T00:00:00"/>
    <x v="2"/>
    <x v="1"/>
    <x v="1"/>
    <x v="1"/>
    <s v="Group Medical"/>
  </r>
  <r>
    <m/>
    <x v="34"/>
    <x v="2"/>
    <m/>
    <m/>
    <x v="2"/>
    <m/>
    <x v="10"/>
    <m/>
    <x v="9"/>
    <x v="3"/>
    <m/>
    <m/>
    <x v="2"/>
    <m/>
    <m/>
    <m/>
    <m/>
    <m/>
    <x v="11"/>
    <m/>
    <x v="0"/>
    <x v="19"/>
    <s v="OPP1900001390"/>
    <x v="4"/>
    <n v="4500000"/>
    <n v="300000"/>
    <d v="2019-10-29T00:00:00"/>
    <x v="1"/>
    <x v="1"/>
    <x v="1"/>
    <x v="1"/>
    <s v="Group Medical"/>
  </r>
  <r>
    <m/>
    <x v="34"/>
    <x v="2"/>
    <m/>
    <m/>
    <x v="2"/>
    <m/>
    <x v="10"/>
    <m/>
    <x v="9"/>
    <x v="3"/>
    <m/>
    <m/>
    <x v="2"/>
    <m/>
    <m/>
    <m/>
    <m/>
    <m/>
    <x v="8"/>
    <m/>
    <x v="0"/>
    <x v="20"/>
    <s v="OPP1900001391"/>
    <x v="1"/>
    <n v="0"/>
    <n v="100000"/>
    <d v="2019-11-15T00:00:00"/>
    <x v="1"/>
    <x v="1"/>
    <x v="1"/>
    <x v="1"/>
    <s v="Group Medical"/>
  </r>
  <r>
    <m/>
    <x v="34"/>
    <x v="2"/>
    <m/>
    <m/>
    <x v="2"/>
    <m/>
    <x v="10"/>
    <m/>
    <x v="9"/>
    <x v="3"/>
    <m/>
    <m/>
    <x v="2"/>
    <m/>
    <m/>
    <m/>
    <m/>
    <m/>
    <x v="8"/>
    <m/>
    <x v="0"/>
    <x v="21"/>
    <s v="OPP1900001392"/>
    <x v="1"/>
    <n v="6000000"/>
    <n v="300000"/>
    <d v="2019-12-01T00:00:00"/>
    <x v="1"/>
    <x v="1"/>
    <x v="1"/>
    <x v="1"/>
    <s v="Group Medical"/>
  </r>
  <r>
    <m/>
    <x v="34"/>
    <x v="2"/>
    <m/>
    <m/>
    <x v="2"/>
    <m/>
    <x v="10"/>
    <m/>
    <x v="9"/>
    <x v="3"/>
    <m/>
    <m/>
    <x v="2"/>
    <m/>
    <m/>
    <m/>
    <m/>
    <m/>
    <x v="11"/>
    <m/>
    <x v="0"/>
    <x v="22"/>
    <s v="OPP1900001393"/>
    <x v="4"/>
    <n v="600000"/>
    <n v="100000"/>
    <d v="2019-11-30T00:00:00"/>
    <x v="1"/>
    <x v="1"/>
    <x v="5"/>
    <x v="1"/>
    <s v="Group Medical"/>
  </r>
  <r>
    <m/>
    <x v="34"/>
    <x v="2"/>
    <m/>
    <m/>
    <x v="2"/>
    <m/>
    <x v="10"/>
    <m/>
    <x v="9"/>
    <x v="3"/>
    <m/>
    <m/>
    <x v="2"/>
    <m/>
    <m/>
    <m/>
    <m/>
    <m/>
    <x v="11"/>
    <m/>
    <x v="0"/>
    <x v="23"/>
    <s v="OPP1900001394"/>
    <x v="4"/>
    <n v="210000"/>
    <n v="35000"/>
    <d v="2019-11-30T00:00:00"/>
    <x v="1"/>
    <x v="1"/>
    <x v="5"/>
    <x v="1"/>
    <s v="Group Personal Accident"/>
  </r>
  <r>
    <m/>
    <x v="34"/>
    <x v="2"/>
    <m/>
    <m/>
    <x v="4"/>
    <m/>
    <x v="10"/>
    <m/>
    <x v="9"/>
    <x v="3"/>
    <m/>
    <m/>
    <x v="2"/>
    <m/>
    <m/>
    <m/>
    <m/>
    <m/>
    <x v="11"/>
    <m/>
    <x v="0"/>
    <x v="24"/>
    <s v="OPP1900001655"/>
    <x v="4"/>
    <n v="300000"/>
    <n v="49500"/>
    <d v="2019-09-30T00:00:00"/>
    <x v="2"/>
    <x v="1"/>
    <x v="4"/>
    <x v="4"/>
    <s v="Commercial General Liability"/>
  </r>
  <r>
    <m/>
    <x v="34"/>
    <x v="2"/>
    <m/>
    <m/>
    <x v="4"/>
    <m/>
    <x v="10"/>
    <m/>
    <x v="9"/>
    <x v="3"/>
    <m/>
    <m/>
    <x v="2"/>
    <m/>
    <m/>
    <m/>
    <m/>
    <m/>
    <x v="11"/>
    <m/>
    <x v="0"/>
    <x v="25"/>
    <s v="OPP1900001656"/>
    <x v="4"/>
    <n v="300000"/>
    <n v="49500"/>
    <d v="2019-09-30T00:00:00"/>
    <x v="2"/>
    <x v="1"/>
    <x v="4"/>
    <x v="4"/>
    <s v="Commercial Crime Insurance"/>
  </r>
  <r>
    <m/>
    <x v="34"/>
    <x v="2"/>
    <m/>
    <m/>
    <x v="2"/>
    <m/>
    <x v="10"/>
    <m/>
    <x v="9"/>
    <x v="3"/>
    <m/>
    <m/>
    <x v="2"/>
    <m/>
    <m/>
    <m/>
    <m/>
    <m/>
    <x v="11"/>
    <m/>
    <x v="0"/>
    <x v="26"/>
    <s v="OPP1900001803"/>
    <x v="4"/>
    <n v="5000000"/>
    <n v="250000"/>
    <d v="2019-11-30T00:00:00"/>
    <x v="1"/>
    <x v="1"/>
    <x v="1"/>
    <x v="1"/>
    <s v="Group Medical"/>
  </r>
  <r>
    <m/>
    <x v="34"/>
    <x v="2"/>
    <m/>
    <m/>
    <x v="0"/>
    <m/>
    <x v="10"/>
    <m/>
    <x v="9"/>
    <x v="3"/>
    <m/>
    <m/>
    <x v="2"/>
    <m/>
    <m/>
    <m/>
    <m/>
    <m/>
    <x v="8"/>
    <m/>
    <x v="0"/>
    <x v="27"/>
    <s v="OPP1900001843"/>
    <x v="1"/>
    <n v="0"/>
    <n v="100000"/>
    <d v="2019-10-31T00:00:00"/>
    <x v="2"/>
    <x v="1"/>
    <x v="2"/>
    <x v="5"/>
    <s v="Marine Combo policy ( EXIM +Inland)"/>
  </r>
  <r>
    <m/>
    <x v="34"/>
    <x v="2"/>
    <m/>
    <m/>
    <x v="1"/>
    <m/>
    <x v="10"/>
    <m/>
    <x v="9"/>
    <x v="3"/>
    <m/>
    <m/>
    <x v="2"/>
    <m/>
    <m/>
    <m/>
    <m/>
    <m/>
    <x v="14"/>
    <m/>
    <x v="0"/>
    <x v="28"/>
    <s v="OPP1900001906"/>
    <x v="3"/>
    <n v="90000000"/>
    <n v="200000"/>
    <d v="2020-08-31T00:00:00"/>
    <x v="1"/>
    <x v="1"/>
    <x v="6"/>
    <x v="6"/>
    <s v="Industrial All Risks"/>
  </r>
  <r>
    <m/>
    <x v="34"/>
    <x v="2"/>
    <m/>
    <m/>
    <x v="0"/>
    <m/>
    <x v="10"/>
    <m/>
    <x v="9"/>
    <x v="3"/>
    <m/>
    <m/>
    <x v="2"/>
    <m/>
    <m/>
    <m/>
    <m/>
    <m/>
    <x v="8"/>
    <m/>
    <x v="0"/>
    <x v="29"/>
    <s v="OPP1900001923"/>
    <x v="1"/>
    <n v="0"/>
    <n v="10000"/>
    <d v="2019-09-30T00:00:00"/>
    <x v="3"/>
    <x v="1"/>
    <x v="2"/>
    <x v="5"/>
    <s v="Marine Cargo"/>
  </r>
  <r>
    <m/>
    <x v="34"/>
    <x v="2"/>
    <m/>
    <m/>
    <x v="1"/>
    <m/>
    <x v="10"/>
    <m/>
    <x v="9"/>
    <x v="3"/>
    <m/>
    <m/>
    <x v="2"/>
    <m/>
    <m/>
    <m/>
    <m/>
    <m/>
    <x v="12"/>
    <m/>
    <x v="0"/>
    <x v="30"/>
    <s v="OPP1900001937"/>
    <x v="5"/>
    <n v="0"/>
    <n v="50000"/>
    <d v="2020-03-31T00:00:00"/>
    <x v="1"/>
    <x v="1"/>
    <x v="6"/>
    <x v="6"/>
    <s v="Fire &amp;amp; Special Perils"/>
  </r>
  <r>
    <m/>
    <x v="34"/>
    <x v="2"/>
    <m/>
    <m/>
    <x v="6"/>
    <m/>
    <x v="10"/>
    <m/>
    <x v="9"/>
    <x v="3"/>
    <m/>
    <m/>
    <x v="2"/>
    <m/>
    <m/>
    <m/>
    <m/>
    <m/>
    <x v="12"/>
    <m/>
    <x v="0"/>
    <x v="31"/>
    <s v="OPP1900001938"/>
    <x v="5"/>
    <n v="300000"/>
    <n v="30000"/>
    <d v="2020-03-31T00:00:00"/>
    <x v="1"/>
    <x v="1"/>
    <x v="7"/>
    <x v="7"/>
    <s v="Contractors All Risk"/>
  </r>
  <r>
    <m/>
    <x v="34"/>
    <x v="2"/>
    <m/>
    <m/>
    <x v="1"/>
    <m/>
    <x v="10"/>
    <m/>
    <x v="9"/>
    <x v="3"/>
    <m/>
    <m/>
    <x v="2"/>
    <m/>
    <m/>
    <m/>
    <m/>
    <m/>
    <x v="12"/>
    <m/>
    <x v="0"/>
    <x v="32"/>
    <s v="OPP1900001939"/>
    <x v="5"/>
    <n v="0"/>
    <n v="200000"/>
    <d v="2020-03-31T00:00:00"/>
    <x v="1"/>
    <x v="1"/>
    <x v="6"/>
    <x v="6"/>
    <s v="Fire &amp;amp; Special Perils"/>
  </r>
  <r>
    <m/>
    <x v="34"/>
    <x v="2"/>
    <m/>
    <m/>
    <x v="1"/>
    <m/>
    <x v="10"/>
    <m/>
    <x v="9"/>
    <x v="3"/>
    <m/>
    <m/>
    <x v="2"/>
    <m/>
    <m/>
    <m/>
    <m/>
    <m/>
    <x v="12"/>
    <m/>
    <x v="0"/>
    <x v="33"/>
    <s v="OPP1900001940"/>
    <x v="5"/>
    <n v="300000"/>
    <n v="50000"/>
    <d v="2020-03-31T00:00:00"/>
    <x v="1"/>
    <x v="1"/>
    <x v="6"/>
    <x v="6"/>
    <s v="Fire &amp;amp; Special Perils"/>
  </r>
  <r>
    <m/>
    <x v="34"/>
    <x v="2"/>
    <m/>
    <m/>
    <x v="1"/>
    <m/>
    <x v="10"/>
    <m/>
    <x v="9"/>
    <x v="3"/>
    <m/>
    <m/>
    <x v="2"/>
    <m/>
    <m/>
    <m/>
    <m/>
    <m/>
    <x v="12"/>
    <m/>
    <x v="0"/>
    <x v="34"/>
    <s v="OPP1900001941"/>
    <x v="5"/>
    <n v="1000000"/>
    <n v="100000"/>
    <d v="2020-07-31T00:00:00"/>
    <x v="1"/>
    <x v="1"/>
    <x v="6"/>
    <x v="6"/>
    <s v="Fire &amp;amp; Special Perils"/>
  </r>
  <r>
    <m/>
    <x v="34"/>
    <x v="2"/>
    <m/>
    <m/>
    <x v="1"/>
    <m/>
    <x v="10"/>
    <m/>
    <x v="9"/>
    <x v="3"/>
    <m/>
    <m/>
    <x v="2"/>
    <m/>
    <m/>
    <m/>
    <m/>
    <m/>
    <x v="12"/>
    <m/>
    <x v="0"/>
    <x v="35"/>
    <s v="OPP1900001942"/>
    <x v="5"/>
    <n v="0"/>
    <n v="300000"/>
    <d v="2020-06-30T00:00:00"/>
    <x v="1"/>
    <x v="1"/>
    <x v="6"/>
    <x v="6"/>
    <s v="Fire &amp;amp; Special Perils"/>
  </r>
  <r>
    <m/>
    <x v="34"/>
    <x v="2"/>
    <m/>
    <m/>
    <x v="1"/>
    <m/>
    <x v="10"/>
    <m/>
    <x v="9"/>
    <x v="3"/>
    <m/>
    <m/>
    <x v="2"/>
    <m/>
    <m/>
    <m/>
    <m/>
    <m/>
    <x v="12"/>
    <m/>
    <x v="0"/>
    <x v="36"/>
    <s v="OPP1900001943"/>
    <x v="5"/>
    <n v="0"/>
    <n v="200000"/>
    <d v="2020-06-30T00:00:00"/>
    <x v="1"/>
    <x v="1"/>
    <x v="6"/>
    <x v="6"/>
    <s v="Fire &amp;amp; Special Perils"/>
  </r>
  <r>
    <m/>
    <x v="34"/>
    <x v="2"/>
    <m/>
    <m/>
    <x v="1"/>
    <m/>
    <x v="10"/>
    <m/>
    <x v="9"/>
    <x v="3"/>
    <m/>
    <m/>
    <x v="2"/>
    <m/>
    <m/>
    <m/>
    <m/>
    <m/>
    <x v="12"/>
    <m/>
    <x v="0"/>
    <x v="37"/>
    <s v="OPP1900001944"/>
    <x v="5"/>
    <n v="0"/>
    <n v="200000"/>
    <d v="2020-06-30T00:00:00"/>
    <x v="1"/>
    <x v="1"/>
    <x v="6"/>
    <x v="6"/>
    <s v="Fire &amp;amp; Special Perils"/>
  </r>
  <r>
    <m/>
    <x v="34"/>
    <x v="2"/>
    <m/>
    <m/>
    <x v="1"/>
    <m/>
    <x v="10"/>
    <m/>
    <x v="9"/>
    <x v="3"/>
    <m/>
    <m/>
    <x v="2"/>
    <m/>
    <m/>
    <m/>
    <m/>
    <m/>
    <x v="12"/>
    <m/>
    <x v="0"/>
    <x v="38"/>
    <s v="OPP1900001945"/>
    <x v="5"/>
    <n v="0"/>
    <n v="400000"/>
    <d v="2020-06-30T00:00:00"/>
    <x v="1"/>
    <x v="1"/>
    <x v="6"/>
    <x v="6"/>
    <s v="Fire &amp;amp; Special Perils"/>
  </r>
  <r>
    <m/>
    <x v="34"/>
    <x v="2"/>
    <m/>
    <m/>
    <x v="7"/>
    <m/>
    <x v="10"/>
    <m/>
    <x v="9"/>
    <x v="3"/>
    <m/>
    <m/>
    <x v="2"/>
    <m/>
    <m/>
    <m/>
    <m/>
    <m/>
    <x v="14"/>
    <m/>
    <x v="0"/>
    <x v="39"/>
    <s v="OPP1900001946"/>
    <x v="3"/>
    <n v="0"/>
    <n v="300000"/>
    <d v="2020-06-30T00:00:00"/>
    <x v="1"/>
    <x v="1"/>
    <x v="8"/>
    <x v="8"/>
    <s v="SABOTAGE &amp;amp; TERRORISM &amp;amp; Political Violence"/>
  </r>
  <r>
    <m/>
    <x v="34"/>
    <x v="2"/>
    <m/>
    <m/>
    <x v="6"/>
    <m/>
    <x v="10"/>
    <m/>
    <x v="9"/>
    <x v="3"/>
    <m/>
    <m/>
    <x v="2"/>
    <m/>
    <m/>
    <m/>
    <m/>
    <m/>
    <x v="14"/>
    <m/>
    <x v="0"/>
    <x v="40"/>
    <s v="OPP1900001947"/>
    <x v="3"/>
    <n v="500000"/>
    <n v="50000"/>
    <d v="2019-12-31T00:00:00"/>
    <x v="1"/>
    <x v="1"/>
    <x v="7"/>
    <x v="7"/>
    <s v="Contractors All Risk"/>
  </r>
  <r>
    <m/>
    <x v="34"/>
    <x v="2"/>
    <m/>
    <m/>
    <x v="6"/>
    <m/>
    <x v="10"/>
    <m/>
    <x v="9"/>
    <x v="3"/>
    <m/>
    <m/>
    <x v="2"/>
    <m/>
    <m/>
    <m/>
    <m/>
    <m/>
    <x v="14"/>
    <m/>
    <x v="0"/>
    <x v="41"/>
    <s v="OPP1900001950"/>
    <x v="3"/>
    <n v="1000000"/>
    <n v="100000"/>
    <d v="2019-09-30T00:00:00"/>
    <x v="1"/>
    <x v="1"/>
    <x v="7"/>
    <x v="7"/>
    <s v="Contractors All Risk"/>
  </r>
  <r>
    <m/>
    <x v="34"/>
    <x v="2"/>
    <m/>
    <m/>
    <x v="6"/>
    <m/>
    <x v="10"/>
    <m/>
    <x v="9"/>
    <x v="3"/>
    <m/>
    <m/>
    <x v="2"/>
    <m/>
    <m/>
    <m/>
    <m/>
    <m/>
    <x v="11"/>
    <m/>
    <x v="0"/>
    <x v="42"/>
    <s v="OPP1900001975"/>
    <x v="4"/>
    <n v="500000"/>
    <n v="62000"/>
    <d v="2019-09-30T00:00:00"/>
    <x v="1"/>
    <x v="1"/>
    <x v="7"/>
    <x v="7"/>
    <s v="Contractors All Risk"/>
  </r>
  <r>
    <m/>
    <x v="34"/>
    <x v="2"/>
    <m/>
    <m/>
    <x v="6"/>
    <m/>
    <x v="10"/>
    <m/>
    <x v="9"/>
    <x v="3"/>
    <m/>
    <m/>
    <x v="2"/>
    <m/>
    <m/>
    <m/>
    <m/>
    <m/>
    <x v="11"/>
    <m/>
    <x v="0"/>
    <x v="43"/>
    <s v="OPP1900001976"/>
    <x v="4"/>
    <n v="300000"/>
    <n v="37500"/>
    <d v="2019-09-30T00:00:00"/>
    <x v="1"/>
    <x v="1"/>
    <x v="7"/>
    <x v="7"/>
    <s v="Contractors All Risk"/>
  </r>
  <r>
    <m/>
    <x v="34"/>
    <x v="2"/>
    <m/>
    <m/>
    <x v="1"/>
    <m/>
    <x v="10"/>
    <m/>
    <x v="9"/>
    <x v="3"/>
    <m/>
    <m/>
    <x v="2"/>
    <m/>
    <m/>
    <m/>
    <m/>
    <m/>
    <x v="8"/>
    <m/>
    <x v="0"/>
    <x v="44"/>
    <s v="OPP1900002004"/>
    <x v="1"/>
    <n v="700000"/>
    <n v="100000"/>
    <d v="2019-12-31T00:00:00"/>
    <x v="1"/>
    <x v="1"/>
    <x v="6"/>
    <x v="6"/>
    <s v="Fire &amp;amp; Special Perils"/>
  </r>
  <r>
    <m/>
    <x v="34"/>
    <x v="2"/>
    <m/>
    <m/>
    <x v="6"/>
    <m/>
    <x v="10"/>
    <m/>
    <x v="9"/>
    <x v="3"/>
    <m/>
    <m/>
    <x v="2"/>
    <m/>
    <m/>
    <m/>
    <m/>
    <m/>
    <x v="11"/>
    <m/>
    <x v="0"/>
    <x v="45"/>
    <s v="OPP1900002039"/>
    <x v="4"/>
    <n v="800000"/>
    <n v="50000"/>
    <d v="2019-09-30T00:00:00"/>
    <x v="1"/>
    <x v="1"/>
    <x v="7"/>
    <x v="7"/>
    <s v="Contractors All Risk"/>
  </r>
  <r>
    <m/>
    <x v="34"/>
    <x v="2"/>
    <m/>
    <m/>
    <x v="1"/>
    <m/>
    <x v="10"/>
    <m/>
    <x v="9"/>
    <x v="3"/>
    <m/>
    <m/>
    <x v="2"/>
    <m/>
    <m/>
    <m/>
    <m/>
    <m/>
    <x v="8"/>
    <m/>
    <x v="0"/>
    <x v="46"/>
    <s v="OPP1900002070"/>
    <x v="1"/>
    <n v="0"/>
    <n v="500000"/>
    <d v="2019-10-01T00:00:00"/>
    <x v="2"/>
    <x v="1"/>
    <x v="6"/>
    <x v="6"/>
    <s v="Fire &amp;amp; Special Perils"/>
  </r>
  <r>
    <m/>
    <x v="34"/>
    <x v="2"/>
    <m/>
    <m/>
    <x v="1"/>
    <m/>
    <x v="10"/>
    <m/>
    <x v="9"/>
    <x v="3"/>
    <m/>
    <m/>
    <x v="2"/>
    <m/>
    <m/>
    <m/>
    <m/>
    <m/>
    <x v="14"/>
    <m/>
    <x v="0"/>
    <x v="47"/>
    <s v="OPP1900002092"/>
    <x v="3"/>
    <n v="1000000"/>
    <n v="100000"/>
    <d v="2019-12-31T00:00:00"/>
    <x v="1"/>
    <x v="1"/>
    <x v="6"/>
    <x v="6"/>
    <s v="Fire &amp;amp; Special Perils"/>
  </r>
  <r>
    <m/>
    <x v="34"/>
    <x v="2"/>
    <m/>
    <m/>
    <x v="1"/>
    <m/>
    <x v="10"/>
    <m/>
    <x v="9"/>
    <x v="3"/>
    <m/>
    <m/>
    <x v="2"/>
    <m/>
    <m/>
    <m/>
    <m/>
    <m/>
    <x v="8"/>
    <m/>
    <x v="0"/>
    <x v="48"/>
    <s v="OPP1900002098"/>
    <x v="1"/>
    <n v="0"/>
    <n v="50000"/>
    <d v="2019-09-30T00:00:00"/>
    <x v="3"/>
    <x v="1"/>
    <x v="6"/>
    <x v="6"/>
    <s v="Fire &amp;amp; Special Perils"/>
  </r>
  <r>
    <m/>
    <x v="34"/>
    <x v="2"/>
    <m/>
    <m/>
    <x v="4"/>
    <m/>
    <x v="10"/>
    <m/>
    <x v="9"/>
    <x v="3"/>
    <m/>
    <m/>
    <x v="2"/>
    <m/>
    <m/>
    <m/>
    <m/>
    <m/>
    <x v="14"/>
    <m/>
    <x v="0"/>
    <x v="49"/>
    <s v="OPP1900002104"/>
    <x v="3"/>
    <n v="0"/>
    <n v="50000"/>
    <d v="2020-03-31T00:00:00"/>
    <x v="1"/>
    <x v="1"/>
    <x v="4"/>
    <x v="4"/>
    <s v="Director &amp;amp; Officers / Management  Liability"/>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1">
  <r>
    <s v="A"/>
    <x v="0"/>
    <x v="0"/>
    <d v="2018-04-19T00:00:00"/>
    <d v="2019-04-18T00:00:00"/>
    <s v="Marine"/>
    <n v="1"/>
    <s v="Vinay"/>
    <s v="Ahmedabad"/>
    <x v="0"/>
    <x v="0"/>
    <n v="32186.720000000001"/>
    <d v="2018-04-19T00:00:00"/>
    <s v="Brokerage"/>
    <s v="Inception"/>
    <m/>
    <d v="2020-01-22T00:00:00"/>
  </r>
  <r>
    <s v="Amit"/>
    <x v="1"/>
    <x v="0"/>
    <d v="2019-05-01T00:00:00"/>
    <d v="2020-04-30T00:00:00"/>
    <s v="Marine"/>
    <n v="2"/>
    <s v="Abhinav Shivam"/>
    <s v="Ahmedabad"/>
    <x v="0"/>
    <x v="1"/>
    <n v="23590.71"/>
    <d v="2019-05-01T00:00:00"/>
    <s v="Brokerage"/>
    <s v="Inception"/>
    <m/>
    <d v="2020-01-22T00:00:00"/>
  </r>
  <r>
    <s v="B"/>
    <x v="2"/>
    <x v="1"/>
    <d v="2018-09-13T00:00:00"/>
    <d v="2019-09-12T00:00:00"/>
    <s v="Fire"/>
    <n v="1"/>
    <s v="Vinay"/>
    <s v="Ahmedabad"/>
    <x v="1"/>
    <x v="0"/>
    <n v="4611.96"/>
    <d v="2018-09-13T00:00:00"/>
    <s v="Brokerage"/>
    <s v="Inception"/>
    <m/>
    <d v="2020-01-22T00:00:00"/>
  </r>
  <r>
    <s v="B"/>
    <x v="3"/>
    <x v="0"/>
    <d v="2019-09-13T00:00:00"/>
    <d v="2020-09-12T00:00:00"/>
    <s v="Fire"/>
    <n v="1"/>
    <s v="Vinay"/>
    <s v="Ahmedabad"/>
    <x v="1"/>
    <x v="0"/>
    <n v="4975.41"/>
    <d v="2019-09-13T00:00:00"/>
    <s v="Brokerage"/>
    <s v="Renewal"/>
    <m/>
    <d v="2020-01-22T00:00:00"/>
  </r>
  <r>
    <s v="B"/>
    <x v="4"/>
    <x v="0"/>
    <d v="2018-11-06T00:00:00"/>
    <d v="2019-11-05T00:00:00"/>
    <s v="Miscellaneous"/>
    <n v="1"/>
    <s v="Vinay"/>
    <s v="Ahmedabad"/>
    <x v="2"/>
    <x v="0"/>
    <n v="1198.8800000000001"/>
    <d v="2018-11-06T00:00:00"/>
    <s v="Brokerage"/>
    <s v="Inception"/>
    <m/>
    <d v="2020-01-22T00:00:00"/>
  </r>
  <r>
    <s v="C"/>
    <x v="5"/>
    <x v="0"/>
    <d v="2019-02-01T00:00:00"/>
    <d v="2020-01-31T00:00:00"/>
    <s v="Employee Benefits"/>
    <n v="10"/>
    <s v="Mark"/>
    <s v="Ahmedabad"/>
    <x v="3"/>
    <x v="0"/>
    <n v="1825.43"/>
    <d v="2019-02-01T00:00:00"/>
    <s v="Brokerage"/>
    <s v="Inception"/>
    <m/>
    <d v="2020-01-22T00:00:00"/>
  </r>
  <r>
    <s v="D"/>
    <x v="6"/>
    <x v="0"/>
    <d v="2019-06-25T00:00:00"/>
    <d v="2020-06-24T00:00:00"/>
    <s v="Employee Benefits"/>
    <n v="2"/>
    <s v="Abhinav Shivam"/>
    <s v="Ahmedabad"/>
    <x v="3"/>
    <x v="1"/>
    <n v="79833.600000000006"/>
    <d v="2019-06-25T00:00:00"/>
    <s v="Brokerage"/>
    <s v="Endorsement"/>
    <m/>
    <d v="2020-01-22T00:00:00"/>
  </r>
  <r>
    <s v="D"/>
    <x v="6"/>
    <x v="0"/>
    <d v="2019-06-25T00:00:00"/>
    <d v="2020-06-24T00:00:00"/>
    <s v="Employee Benefits"/>
    <n v="2"/>
    <s v="Abhinav Shivam"/>
    <s v="Ahmedabad"/>
    <x v="3"/>
    <x v="1"/>
    <n v="11435.86"/>
    <d v="2019-08-02T00:00:00"/>
    <s v="Brokerage "/>
    <s v="Endorsement"/>
    <m/>
    <d v="2020-01-22T00:00:00"/>
  </r>
  <r>
    <s v="E"/>
    <x v="7"/>
    <x v="0"/>
    <d v="2018-04-25T00:00:00"/>
    <d v="2019-04-24T00:00:00"/>
    <s v="Miscellaneous"/>
    <n v="1"/>
    <s v="Vinay"/>
    <s v="Ahmedabad"/>
    <x v="3"/>
    <x v="0"/>
    <n v="847.38"/>
    <d v="2018-04-25T00:00:00"/>
    <s v="Brokerage"/>
    <s v="Inception"/>
    <m/>
    <d v="2020-01-22T00:00:00"/>
  </r>
  <r>
    <s v="E"/>
    <x v="8"/>
    <x v="1"/>
    <d v="2018-04-25T00:00:00"/>
    <d v="2019-04-24T00:00:00"/>
    <s v="Marine"/>
    <n v="1"/>
    <s v="Vinay"/>
    <s v="Ahmedabad"/>
    <x v="0"/>
    <x v="0"/>
    <n v="9900"/>
    <d v="2018-04-25T00:00:00"/>
    <s v="Brokerage"/>
    <s v="Inception"/>
    <m/>
    <d v="2020-01-22T00:00:00"/>
  </r>
  <r>
    <s v="E"/>
    <x v="9"/>
    <x v="0"/>
    <d v="2019-01-11T00:00:00"/>
    <d v="2020-01-10T00:00:00"/>
    <s v="Marine"/>
    <n v="1"/>
    <s v="Vinay"/>
    <s v="Ahmedabad"/>
    <x v="0"/>
    <x v="0"/>
    <n v="8250"/>
    <d v="2019-01-11T00:00:00"/>
    <s v="Brokerage"/>
    <s v="Renewal"/>
    <m/>
    <d v="2020-01-22T00:00:00"/>
  </r>
  <r>
    <s v="E"/>
    <x v="10"/>
    <x v="0"/>
    <d v="2018-04-25T00:00:00"/>
    <d v="2019-04-24T00:00:00"/>
    <s v="Fire"/>
    <n v="1"/>
    <s v="Vinay"/>
    <s v="Ahmedabad"/>
    <x v="4"/>
    <x v="0"/>
    <n v="4093.2"/>
    <d v="2018-04-25T00:00:00"/>
    <s v="Brokerage"/>
    <s v="Inception"/>
    <m/>
    <d v="2020-01-22T00:00:00"/>
  </r>
  <r>
    <s v="F"/>
    <x v="11"/>
    <x v="0"/>
    <d v="2019-05-20T00:00:00"/>
    <d v="2020-05-19T00:00:00"/>
    <s v="Miscellaneous"/>
    <n v="1"/>
    <s v="Vinay"/>
    <s v="Ahmedabad"/>
    <x v="2"/>
    <x v="0"/>
    <n v="8117"/>
    <d v="2020-01-20T00:00:00"/>
    <s v="Brokerage"/>
    <s v="Renewal"/>
    <m/>
    <d v="2020-01-22T00:00:00"/>
  </r>
  <r>
    <s v="F"/>
    <x v="12"/>
    <x v="1"/>
    <d v="2018-05-20T00:00:00"/>
    <d v="2019-05-19T00:00:00"/>
    <s v="Miscellaneous"/>
    <n v="1"/>
    <s v="Vinay"/>
    <s v="Ahmedabad"/>
    <x v="2"/>
    <x v="0"/>
    <n v="6101.25"/>
    <d v="2018-05-20T00:00:00"/>
    <s v="Brokerage"/>
    <s v="Inception"/>
    <m/>
    <d v="2020-01-22T00:00:00"/>
  </r>
  <r>
    <s v="G"/>
    <x v="13"/>
    <x v="0"/>
    <d v="2018-06-12T00:00:00"/>
    <d v="2019-06-11T00:00:00"/>
    <s v="Marine"/>
    <n v="9"/>
    <s v="Manish Sharma"/>
    <s v="Ahmedabad"/>
    <x v="5"/>
    <x v="0"/>
    <n v="1980"/>
    <d v="2018-06-12T00:00:00"/>
    <s v="Brokerage"/>
    <s v="Endorsement"/>
    <m/>
    <d v="2020-01-22T00:00:00"/>
  </r>
  <r>
    <s v="G"/>
    <x v="13"/>
    <x v="0"/>
    <d v="2018-06-12T00:00:00"/>
    <d v="2019-06-11T00:00:00"/>
    <s v="Marine"/>
    <n v="9"/>
    <s v="Manish Sharma"/>
    <s v="Ahmedabad"/>
    <x v="5"/>
    <x v="0"/>
    <n v="1980"/>
    <d v="2019-01-10T00:00:00"/>
    <s v="Brokerage "/>
    <s v="Endorsement"/>
    <m/>
    <d v="2020-01-22T00:00:00"/>
  </r>
  <r>
    <s v="H"/>
    <x v="14"/>
    <x v="0"/>
    <d v="2019-08-26T00:00:00"/>
    <d v="2020-08-25T00:00:00"/>
    <s v="Miscellaneous"/>
    <n v="3"/>
    <s v="Animesh Rawat"/>
    <s v="Ahmedabad"/>
    <x v="6"/>
    <x v="2"/>
    <n v="2089.25"/>
    <d v="2019-08-26T00:00:00"/>
    <s v="Brokerage"/>
    <s v="Inception"/>
    <m/>
    <d v="2020-01-22T00:00:00"/>
  </r>
  <r>
    <s v="H"/>
    <x v="15"/>
    <x v="0"/>
    <d v="2019-01-01T00:00:00"/>
    <d v="2019-12-31T00:00:00"/>
    <s v="Marine"/>
    <n v="3"/>
    <s v="Animesh Rawat"/>
    <s v="Ahmedabad"/>
    <x v="6"/>
    <x v="2"/>
    <n v="21768.61"/>
    <d v="2019-01-01T00:00:00"/>
    <s v="Brokerage"/>
    <s v="Inception"/>
    <m/>
    <d v="2020-01-22T00:00:00"/>
  </r>
  <r>
    <s v="H"/>
    <x v="16"/>
    <x v="0"/>
    <d v="2019-01-01T00:00:00"/>
    <d v="2019-12-31T00:00:00"/>
    <s v="Liability"/>
    <n v="3"/>
    <s v="Animesh Rawat"/>
    <s v="Ahmedabad"/>
    <x v="6"/>
    <x v="2"/>
    <n v="12019.2"/>
    <d v="2019-01-01T00:00:00"/>
    <s v="Brokerage"/>
    <s v="Inception"/>
    <m/>
    <d v="2020-01-22T00:00:00"/>
  </r>
  <r>
    <s v="I"/>
    <x v="17"/>
    <x v="0"/>
    <d v="2018-04-01T00:00:00"/>
    <d v="2019-03-31T00:00:00"/>
    <s v="Miscellaneous"/>
    <n v="3"/>
    <s v="Animesh Rawat"/>
    <s v="Ahmedabad"/>
    <x v="6"/>
    <x v="0"/>
    <n v="66937.72"/>
    <d v="2018-04-01T00:00:00"/>
    <s v="Brokerage"/>
    <s v="Inception"/>
    <m/>
    <d v="2020-01-22T00:00:00"/>
  </r>
  <r>
    <s v="I"/>
    <x v="18"/>
    <x v="0"/>
    <d v="2018-05-11T00:00:00"/>
    <d v="2019-05-10T00:00:00"/>
    <s v="Marine"/>
    <n v="3"/>
    <s v="Animesh Rawat"/>
    <s v="Ahmedabad"/>
    <x v="6"/>
    <x v="0"/>
    <n v="78374.84"/>
    <d v="2018-05-11T00:00:00"/>
    <s v="Brokerage"/>
    <s v="Inception"/>
    <m/>
    <d v="2020-01-22T00:00:00"/>
  </r>
  <r>
    <s v="I"/>
    <x v="19"/>
    <x v="1"/>
    <d v="2018-04-01T00:00:00"/>
    <d v="2019-03-31T00:00:00"/>
    <s v="Employee Benefits"/>
    <n v="10"/>
    <s v="Mark"/>
    <s v="Ahmedabad"/>
    <x v="3"/>
    <x v="0"/>
    <n v="60000"/>
    <d v="2018-04-01T00:00:00"/>
    <s v="Brokerage"/>
    <s v="Inception"/>
    <m/>
    <d v="2020-01-22T00:00:00"/>
  </r>
  <r>
    <s v="I"/>
    <x v="20"/>
    <x v="0"/>
    <d v="2019-04-01T00:00:00"/>
    <d v="2020-03-31T00:00:00"/>
    <s v="Employee Benefits"/>
    <n v="10"/>
    <s v="Mark"/>
    <s v="Ahmedabad"/>
    <x v="3"/>
    <x v="0"/>
    <n v="60000"/>
    <d v="2019-04-01T00:00:00"/>
    <s v="Brokerage"/>
    <s v="Renewal"/>
    <m/>
    <d v="2020-01-22T00:00:00"/>
  </r>
  <r>
    <s v="I"/>
    <x v="20"/>
    <x v="0"/>
    <d v="2019-04-01T00:00:00"/>
    <d v="2020-03-31T00:00:00"/>
    <s v="Employee Benefits"/>
    <n v="10"/>
    <s v="Mark"/>
    <s v="Ahmedabad"/>
    <x v="3"/>
    <x v="0"/>
    <n v="60000"/>
    <d v="2019-04-01T00:00:00"/>
    <s v="Brokerage"/>
    <s v="Renewal"/>
    <m/>
    <d v="2020-01-22T00:00:00"/>
  </r>
  <r>
    <s v="I"/>
    <x v="21"/>
    <x v="0"/>
    <d v="2018-04-01T00:00:00"/>
    <d v="2019-03-31T00:00:00"/>
    <s v="Miscellaneous"/>
    <n v="3"/>
    <s v="Animesh Rawat"/>
    <s v="Ahmedabad"/>
    <x v="6"/>
    <x v="0"/>
    <n v="4715.63"/>
    <d v="2018-04-01T00:00:00"/>
    <s v="Brokerage"/>
    <s v="Inception"/>
    <m/>
    <d v="2020-01-22T00:00:00"/>
  </r>
  <r>
    <s v="I"/>
    <x v="22"/>
    <x v="0"/>
    <d v="2018-04-01T00:00:00"/>
    <d v="2019-03-31T00:00:00"/>
    <s v="Liability"/>
    <n v="3"/>
    <s v="Animesh Rawat"/>
    <s v="Ahmedabad"/>
    <x v="6"/>
    <x v="0"/>
    <n v="22755.25"/>
    <d v="2018-04-01T00:00:00"/>
    <s v="Brokerage"/>
    <s v="Inception"/>
    <m/>
    <d v="2020-01-22T00:00:00"/>
  </r>
  <r>
    <s v="I"/>
    <x v="23"/>
    <x v="0"/>
    <d v="2018-04-01T00:00:00"/>
    <d v="2019-03-31T00:00:00"/>
    <s v="Liability"/>
    <n v="12"/>
    <s v="Shivani Sharma"/>
    <s v="Ahmedabad"/>
    <x v="6"/>
    <x v="0"/>
    <n v="26443.63"/>
    <d v="2018-04-01T00:00:00"/>
    <s v="Brokerage"/>
    <s v="Inception"/>
    <m/>
    <d v="2020-01-22T00:00:00"/>
  </r>
  <r>
    <s v="J"/>
    <x v="24"/>
    <x v="1"/>
    <d v="2018-04-06T00:00:00"/>
    <d v="2019-04-05T00:00:00"/>
    <s v="Marine"/>
    <n v="1"/>
    <s v="Vinay"/>
    <s v="Ahmedabad"/>
    <x v="0"/>
    <x v="0"/>
    <n v="49499.839999999997"/>
    <d v="2018-04-06T00:00:00"/>
    <s v="Brokerage"/>
    <s v="Endorsement"/>
    <m/>
    <d v="2020-01-22T00:00:00"/>
  </r>
  <r>
    <s v="J"/>
    <x v="24"/>
    <x v="1"/>
    <d v="2018-04-06T00:00:00"/>
    <d v="2019-04-05T00:00:00"/>
    <s v="Marine"/>
    <n v="1"/>
    <s v="Vinay"/>
    <s v="Ahmedabad"/>
    <x v="0"/>
    <x v="0"/>
    <m/>
    <d v="2018-10-11T00:00:00"/>
    <s v="Brokerage "/>
    <s v="Endorsement"/>
    <m/>
    <d v="2020-01-22T00:00:00"/>
  </r>
  <r>
    <s v="J"/>
    <x v="24"/>
    <x v="1"/>
    <d v="2018-04-06T00:00:00"/>
    <d v="2019-04-05T00:00:00"/>
    <s v="Marine"/>
    <n v="1"/>
    <s v="Vinay"/>
    <s v="Ahmedabad"/>
    <x v="0"/>
    <x v="0"/>
    <n v="16500"/>
    <d v="2019-01-17T00:00:00"/>
    <s v="Brokerage "/>
    <s v="Endorsement"/>
    <m/>
    <d v="2020-01-22T00:00:00"/>
  </r>
  <r>
    <s v="J"/>
    <x v="25"/>
    <x v="0"/>
    <d v="2019-04-06T00:00:00"/>
    <d v="2020-04-05T00:00:00"/>
    <s v="Marine"/>
    <n v="1"/>
    <s v="Vinay"/>
    <s v="Ahmedabad"/>
    <x v="0"/>
    <x v="0"/>
    <n v="26400"/>
    <d v="2019-04-06T00:00:00"/>
    <s v="Brokerage"/>
    <s v="Renewal"/>
    <m/>
    <d v="2020-01-22T00:00:00"/>
  </r>
  <r>
    <s v="J"/>
    <x v="26"/>
    <x v="0"/>
    <d v="2018-08-20T00:00:00"/>
    <d v="2019-08-19T00:00:00"/>
    <s v="Marine"/>
    <n v="1"/>
    <s v="Vinay"/>
    <s v="Ahmedabad"/>
    <x v="0"/>
    <x v="0"/>
    <n v="3300"/>
    <d v="2018-08-20T00:00:00"/>
    <s v="Brokerage"/>
    <s v="Inception"/>
    <m/>
    <d v="2020-01-22T00:00:00"/>
  </r>
  <r>
    <s v="J"/>
    <x v="27"/>
    <x v="0"/>
    <d v="2018-09-11T00:00:00"/>
    <d v="2019-09-10T00:00:00"/>
    <s v="Marine"/>
    <n v="1"/>
    <s v="Vinay"/>
    <s v="Ahmedabad"/>
    <x v="0"/>
    <x v="0"/>
    <n v="1072.5"/>
    <d v="2018-09-11T00:00:00"/>
    <s v="Brokerage"/>
    <s v="Inception"/>
    <m/>
    <d v="2020-01-22T00:00:00"/>
  </r>
  <r>
    <s v="J"/>
    <x v="28"/>
    <x v="0"/>
    <d v="2018-03-27T00:00:00"/>
    <d v="2019-03-26T00:00:00"/>
    <s v="Fire"/>
    <n v="1"/>
    <s v="Vinay"/>
    <s v="Ahmedabad"/>
    <x v="4"/>
    <x v="0"/>
    <n v="4002.46"/>
    <d v="2018-03-27T00:00:00"/>
    <s v="Brokerage"/>
    <s v="Inception"/>
    <m/>
    <d v="2020-01-22T00:00:00"/>
  </r>
  <r>
    <s v="J"/>
    <x v="29"/>
    <x v="0"/>
    <d v="2018-08-14T00:00:00"/>
    <d v="2019-08-13T00:00:00"/>
    <s v="Fire"/>
    <n v="1"/>
    <s v="Vinay"/>
    <s v="Ahmedabad"/>
    <x v="4"/>
    <x v="0"/>
    <n v="1374.25"/>
    <d v="2018-08-14T00:00:00"/>
    <s v="Brokerage"/>
    <s v="Inception"/>
    <m/>
    <d v="2020-01-22T00:00:00"/>
  </r>
  <r>
    <s v="J"/>
    <x v="30"/>
    <x v="0"/>
    <d v="2018-03-27T00:00:00"/>
    <d v="2019-03-26T00:00:00"/>
    <s v="Fire"/>
    <n v="1"/>
    <s v="Vinay"/>
    <s v="Ahmedabad"/>
    <x v="4"/>
    <x v="2"/>
    <n v="566.25"/>
    <d v="2018-03-27T00:00:00"/>
    <s v="Brokerage"/>
    <s v="Inception"/>
    <m/>
    <d v="2020-01-22T00:00:00"/>
  </r>
  <r>
    <s v="J"/>
    <x v="31"/>
    <x v="0"/>
    <d v="2018-08-14T00:00:00"/>
    <d v="2019-08-13T00:00:00"/>
    <s v="Miscellaneous"/>
    <n v="1"/>
    <s v="Vinay"/>
    <s v="Ahmedabad"/>
    <x v="4"/>
    <x v="0"/>
    <n v="445"/>
    <d v="2018-08-14T00:00:00"/>
    <s v="Brokerage"/>
    <s v="Inception"/>
    <m/>
    <d v="2020-01-22T00:00:00"/>
  </r>
  <r>
    <s v="K"/>
    <x v="32"/>
    <x v="0"/>
    <d v="2019-09-01T00:00:00"/>
    <d v="2020-08-31T00:00:00"/>
    <s v="Fire"/>
    <n v="1"/>
    <s v="Vinay"/>
    <s v="Ahmedabad"/>
    <x v="4"/>
    <x v="0"/>
    <n v="13114.95"/>
    <d v="2019-09-01T00:00:00"/>
    <s v="Brokerage"/>
    <s v="Renewal"/>
    <m/>
    <d v="2020-01-22T00:00:00"/>
  </r>
  <r>
    <s v="K"/>
    <x v="29"/>
    <x v="1"/>
    <d v="2018-09-01T00:00:00"/>
    <d v="2019-08-31T00:00:00"/>
    <s v="Fire"/>
    <n v="1"/>
    <s v="Vinay"/>
    <s v="Ahmedabad"/>
    <x v="4"/>
    <x v="0"/>
    <n v="2049.42"/>
    <d v="2018-09-01T00:00:00"/>
    <s v="Brokerage"/>
    <s v="Inception"/>
    <m/>
    <d v="2020-01-22T00:00:00"/>
  </r>
  <r>
    <s v="L"/>
    <x v="33"/>
    <x v="0"/>
    <d v="2018-08-01T00:00:00"/>
    <d v="2019-07-31T00:00:00"/>
    <s v="Liability"/>
    <n v="6"/>
    <s v="Ketan Jain"/>
    <s v="Ahmedabad"/>
    <x v="2"/>
    <x v="0"/>
    <n v="61425"/>
    <d v="2018-08-01T00:00:00"/>
    <s v="Brokerage"/>
    <s v="Inception"/>
    <m/>
    <d v="2020-01-22T00:00:00"/>
  </r>
  <r>
    <s v="M"/>
    <x v="34"/>
    <x v="0"/>
    <d v="2018-09-27T00:00:00"/>
    <d v="2019-09-26T00:00:00"/>
    <s v="Marine"/>
    <n v="1"/>
    <s v="Vinay"/>
    <s v="Ahmedabad"/>
    <x v="0"/>
    <x v="0"/>
    <n v="1650"/>
    <d v="2018-09-27T00:00:00"/>
    <s v="Brokerage"/>
    <s v="Inception"/>
    <m/>
    <d v="2020-01-22T00:00:00"/>
  </r>
  <r>
    <s v="N"/>
    <x v="35"/>
    <x v="1"/>
    <d v="2018-03-01T00:00:00"/>
    <d v="2019-02-28T00:00:00"/>
    <s v="Marine"/>
    <n v="3"/>
    <s v="Animesh Rawat"/>
    <s v="Ahmedabad"/>
    <x v="6"/>
    <x v="0"/>
    <n v="16335"/>
    <d v="2018-03-01T00:00:00"/>
    <s v="Brokerage"/>
    <s v="Inception"/>
    <m/>
    <d v="2020-01-22T00:00:00"/>
  </r>
  <r>
    <s v="N"/>
    <x v="36"/>
    <x v="0"/>
    <d v="2019-03-01T00:00:00"/>
    <d v="2020-02-29T00:00:00"/>
    <s v="Marine"/>
    <n v="3"/>
    <s v="Animesh Rawat"/>
    <s v="Ahmedabad"/>
    <x v="6"/>
    <x v="0"/>
    <n v="18562.5"/>
    <d v="2019-03-01T00:00:00"/>
    <s v="Brokerage"/>
    <s v="Renewal"/>
    <m/>
    <d v="2020-01-22T00:00:00"/>
  </r>
  <r>
    <s v="O"/>
    <x v="37"/>
    <x v="0"/>
    <d v="2018-04-02T00:00:00"/>
    <d v="2019-04-01T00:00:00"/>
    <s v="Liability"/>
    <n v="12"/>
    <s v="Shivani Sharma"/>
    <s v="Ahmedabad"/>
    <x v="6"/>
    <x v="0"/>
    <n v="0"/>
    <d v="2018-08-02T00:00:00"/>
    <s v="Brokerage"/>
    <s v="Inception"/>
    <m/>
    <d v="2020-01-22T00:00:00"/>
  </r>
  <r>
    <s v="P"/>
    <x v="38"/>
    <x v="1"/>
    <d v="2018-06-29T00:00:00"/>
    <d v="2019-06-28T00:00:00"/>
    <s v="Employee Benefits"/>
    <n v="10"/>
    <s v="Mark"/>
    <s v="Ahmedabad"/>
    <x v="3"/>
    <x v="0"/>
    <n v="4330.05"/>
    <d v="2018-06-29T00:00:00"/>
    <s v="Brokerage"/>
    <s v="Endorsement"/>
    <m/>
    <d v="2020-01-22T00:00:00"/>
  </r>
  <r>
    <s v="P"/>
    <x v="38"/>
    <x v="1"/>
    <d v="2018-06-29T00:00:00"/>
    <d v="2019-06-28T00:00:00"/>
    <s v="Employee Benefits"/>
    <n v="10"/>
    <s v="Mark"/>
    <s v="Ahmedabad"/>
    <x v="3"/>
    <x v="0"/>
    <m/>
    <d v="2018-07-05T00:00:00"/>
    <s v="Brokerage "/>
    <s v="Endorsement"/>
    <m/>
    <d v="2020-01-22T00:00:00"/>
  </r>
  <r>
    <s v="P"/>
    <x v="39"/>
    <x v="0"/>
    <d v="2019-06-29T00:00:00"/>
    <d v="2020-06-28T00:00:00"/>
    <s v="Employee Benefits"/>
    <n v="10"/>
    <s v="Mark"/>
    <s v="Ahmedabad"/>
    <x v="3"/>
    <x v="0"/>
    <n v="8604.68"/>
    <d v="2019-06-29T00:00:00"/>
    <s v="Brokerage"/>
    <s v="Renewal"/>
    <m/>
    <d v="2020-01-22T00:00:00"/>
  </r>
  <r>
    <s v="P"/>
    <x v="40"/>
    <x v="1"/>
    <d v="2018-06-29T00:00:00"/>
    <d v="2019-06-28T00:00:00"/>
    <s v="Employee Benefits"/>
    <n v="10"/>
    <s v="Mark"/>
    <s v="Ahmedabad"/>
    <x v="3"/>
    <x v="0"/>
    <n v="41313.599999999999"/>
    <d v="2018-06-29T00:00:00"/>
    <s v="Brokerage"/>
    <s v="Endorsement"/>
    <m/>
    <d v="2020-01-22T00:00:00"/>
  </r>
  <r>
    <s v="P"/>
    <x v="40"/>
    <x v="1"/>
    <d v="2018-06-29T00:00:00"/>
    <d v="2019-06-28T00:00:00"/>
    <s v="Employee Benefits"/>
    <n v="10"/>
    <s v="Mark"/>
    <s v="Ahmedabad"/>
    <x v="3"/>
    <x v="0"/>
    <m/>
    <d v="2018-07-31T00:00:00"/>
    <s v="Brokerage "/>
    <s v="Endorsement"/>
    <m/>
    <d v="2020-01-22T00:00:00"/>
  </r>
  <r>
    <s v="P"/>
    <x v="41"/>
    <x v="0"/>
    <d v="2019-06-29T00:00:00"/>
    <d v="2020-06-28T00:00:00"/>
    <s v="Employee Benefits"/>
    <n v="10"/>
    <s v="Mark"/>
    <s v="Ahmedabad"/>
    <x v="3"/>
    <x v="0"/>
    <n v="74672.78"/>
    <d v="2019-06-29T00:00:00"/>
    <s v="Brokerage"/>
    <s v="Renewal"/>
    <m/>
    <d v="2020-01-22T00:00:00"/>
  </r>
  <r>
    <s v="O"/>
    <x v="42"/>
    <x v="0"/>
    <d v="2018-01-03T00:00:00"/>
    <d v="2019-01-02T00:00:00"/>
    <s v="Marine"/>
    <n v="12"/>
    <s v="Shivani Sharma"/>
    <s v="Ahmedabad"/>
    <x v="6"/>
    <x v="0"/>
    <n v="66622.350000000006"/>
    <d v="2018-01-03T00:00:00"/>
    <s v="Brokerage"/>
    <s v="Inception"/>
    <m/>
    <d v="2020-01-22T00:00:00"/>
  </r>
  <r>
    <s v="O"/>
    <x v="43"/>
    <x v="0"/>
    <d v="2018-04-01T00:00:00"/>
    <d v="2019-03-31T00:00:00"/>
    <s v="Liability"/>
    <n v="12"/>
    <s v="Shivani Sharma"/>
    <s v="Ahmedabad"/>
    <x v="6"/>
    <x v="0"/>
    <n v="0"/>
    <d v="2018-04-01T00:00:00"/>
    <s v="Brokerage"/>
    <s v="Inception"/>
    <m/>
    <d v="2020-01-22T00:00:00"/>
  </r>
  <r>
    <s v="q"/>
    <x v="44"/>
    <x v="1"/>
    <d v="2018-11-01T00:00:00"/>
    <d v="2019-10-31T00:00:00"/>
    <s v="Marine"/>
    <n v="1"/>
    <s v="Vinay"/>
    <s v="Ahmedabad"/>
    <x v="0"/>
    <x v="0"/>
    <n v="92812.5"/>
    <d v="2018-11-01T00:00:00"/>
    <s v="Brokerage"/>
    <s v="Renewal"/>
    <m/>
    <d v="2020-01-22T00:00:00"/>
  </r>
  <r>
    <s v="q"/>
    <x v="45"/>
    <x v="0"/>
    <d v="2019-11-14T00:00:00"/>
    <d v="2020-11-13T00:00:00"/>
    <s v="Marine"/>
    <n v="1"/>
    <s v="Vinay"/>
    <s v="Ahmedabad"/>
    <x v="0"/>
    <x v="0"/>
    <n v="18562.5"/>
    <d v="2019-11-14T00:00:00"/>
    <s v="Brokerage"/>
    <s v="Renewal"/>
    <m/>
    <d v="2020-01-22T00:00:00"/>
  </r>
  <r>
    <s v="q"/>
    <x v="46"/>
    <x v="0"/>
    <d v="2018-10-08T00:00:00"/>
    <d v="2019-10-07T00:00:00"/>
    <s v="Marine"/>
    <n v="1"/>
    <s v="Vinay"/>
    <s v="Ahmedabad"/>
    <x v="0"/>
    <x v="0"/>
    <n v="3526.88"/>
    <d v="2019-10-08T00:00:00"/>
    <s v="Brokerage"/>
    <s v="Renewal"/>
    <m/>
    <d v="2020-01-22T00:00:00"/>
  </r>
  <r>
    <s v="q"/>
    <x v="47"/>
    <x v="0"/>
    <d v="2017-10-08T00:00:00"/>
    <d v="2018-10-07T00:00:00"/>
    <s v="Marine"/>
    <n v="5"/>
    <s v="Juli"/>
    <s v="Ahmedabad"/>
    <x v="0"/>
    <x v="0"/>
    <n v="34950.980000000003"/>
    <d v="2017-10-08T00:00:00"/>
    <s v="Brokerage"/>
    <s v="Inception"/>
    <m/>
    <d v="2020-01-22T00:00:00"/>
  </r>
  <r>
    <s v="q"/>
    <x v="48"/>
    <x v="0"/>
    <d v="2017-11-01T00:00:00"/>
    <d v="2018-10-31T00:00:00"/>
    <s v="Marine"/>
    <n v="5"/>
    <s v="Juli"/>
    <s v="Ahmedabad"/>
    <x v="0"/>
    <x v="0"/>
    <n v="55687.5"/>
    <d v="2017-11-01T00:00:00"/>
    <s v="Brokerage"/>
    <s v="Inception"/>
    <m/>
    <d v="2020-01-22T00:00:00"/>
  </r>
  <r>
    <s v="R"/>
    <x v="49"/>
    <x v="0"/>
    <d v="2019-04-12T00:00:00"/>
    <d v="2020-04-11T00:00:00"/>
    <s v="Fire"/>
    <n v="11"/>
    <s v="Raju Kumar"/>
    <s v="Ahmedabad"/>
    <x v="4"/>
    <x v="0"/>
    <n v="5187.3100000000004"/>
    <d v="2019-04-12T00:00:00"/>
    <s v="Brokerage"/>
    <s v="Inception"/>
    <m/>
    <d v="2020-01-22T00:00:00"/>
  </r>
  <r>
    <s v="O"/>
    <x v="50"/>
    <x v="0"/>
    <d v="2018-08-25T00:00:00"/>
    <d v="2019-08-24T00:00:00"/>
    <s v="Fire"/>
    <n v="1"/>
    <s v="Vinay"/>
    <s v="Ahmedabad"/>
    <x v="4"/>
    <x v="2"/>
    <n v="2116.48"/>
    <d v="2018-08-25T00:00:00"/>
    <s v="Brokerage"/>
    <s v="Inception"/>
    <m/>
    <d v="2020-01-22T00:00:00"/>
  </r>
  <r>
    <s v="O"/>
    <x v="51"/>
    <x v="0"/>
    <d v="2018-11-30T00:00:00"/>
    <d v="2019-11-29T00:00:00"/>
    <s v="Fire"/>
    <n v="1"/>
    <s v="Vinay"/>
    <s v="Ahmedabad"/>
    <x v="4"/>
    <x v="0"/>
    <n v="810.28"/>
    <d v="2018-11-30T00:00:00"/>
    <s v="Brokerage"/>
    <s v="Inception"/>
    <m/>
    <d v="2020-01-22T00:00:00"/>
  </r>
  <r>
    <s v="T"/>
    <x v="52"/>
    <x v="0"/>
    <d v="2019-05-01T00:00:00"/>
    <d v="2020-04-30T00:00:00"/>
    <s v="Miscellaneous"/>
    <n v="6"/>
    <s v="Ketan Jain"/>
    <s v="Ahmedabad"/>
    <x v="7"/>
    <x v="1"/>
    <n v="379836.08"/>
    <d v="2019-05-01T00:00:00"/>
    <s v="Brokerage"/>
    <s v="Inception"/>
    <m/>
    <d v="2020-01-22T00:00:00"/>
  </r>
  <r>
    <s v="T"/>
    <x v="53"/>
    <x v="0"/>
    <d v="2019-03-31T00:00:00"/>
    <d v="2020-03-30T00:00:00"/>
    <s v="Liability"/>
    <n v="6"/>
    <s v="Ketan Jain"/>
    <s v="Ahmedabad"/>
    <x v="2"/>
    <x v="2"/>
    <n v="28087.5"/>
    <d v="2019-03-31T00:00:00"/>
    <s v="Brokerage"/>
    <s v="Inception"/>
    <m/>
    <d v="2020-01-22T00:00:00"/>
  </r>
  <r>
    <s v="U"/>
    <x v="54"/>
    <x v="0"/>
    <d v="2019-01-01T00:00:00"/>
    <d v="2019-12-31T00:00:00"/>
    <s v="Liability"/>
    <n v="1"/>
    <s v="Vinay"/>
    <s v="Ahmedabad"/>
    <x v="2"/>
    <x v="0"/>
    <n v="137500"/>
    <d v="2019-01-01T00:00:00"/>
    <s v="Brokerage"/>
    <s v="Inception"/>
    <m/>
    <d v="2020-01-22T00:00:00"/>
  </r>
  <r>
    <s v="U"/>
    <x v="55"/>
    <x v="0"/>
    <d v="2018-10-04T00:00:00"/>
    <d v="2019-10-03T00:00:00"/>
    <s v="Liability"/>
    <n v="1"/>
    <s v="Vinay"/>
    <s v="Ahmedabad"/>
    <x v="2"/>
    <x v="2"/>
    <n v="18750"/>
    <d v="2018-10-04T00:00:00"/>
    <s v="Brokerage"/>
    <s v="Inception"/>
    <m/>
    <d v="2020-01-22T00:00:00"/>
  </r>
  <r>
    <s v="U"/>
    <x v="56"/>
    <x v="0"/>
    <d v="2019-12-02T00:00:00"/>
    <d v="2020-12-01T00:00:00"/>
    <s v="Liability"/>
    <n v="1"/>
    <s v="Vinay"/>
    <s v="Ahmedabad"/>
    <x v="2"/>
    <x v="0"/>
    <n v="8125"/>
    <d v="2019-12-02T00:00:00"/>
    <s v="Brokerage"/>
    <s v="Inception"/>
    <m/>
    <d v="2020-01-22T00:00:00"/>
  </r>
  <r>
    <s v="V"/>
    <x v="57"/>
    <x v="0"/>
    <d v="2018-03-01T00:00:00"/>
    <d v="2019-02-28T00:00:00"/>
    <s v="Fire"/>
    <n v="5"/>
    <s v="Juli"/>
    <s v="Ahmedabad"/>
    <x v="5"/>
    <x v="1"/>
    <n v="116487.03999999999"/>
    <d v="2018-03-01T00:00:00"/>
    <s v="Brokerage"/>
    <s v="Inception"/>
    <m/>
    <d v="2020-01-22T00:00:00"/>
  </r>
  <r>
    <s v="V"/>
    <x v="58"/>
    <x v="0"/>
    <d v="2018-03-01T00:00:00"/>
    <d v="2019-02-28T00:00:00"/>
    <s v="Fire"/>
    <n v="5"/>
    <s v="Juli"/>
    <s v="Ahmedabad"/>
    <x v="5"/>
    <x v="1"/>
    <n v="2988.62"/>
    <d v="2018-03-01T00:00:00"/>
    <s v="Brokerage"/>
    <s v="Inception"/>
    <m/>
    <d v="2020-01-22T00:00:00"/>
  </r>
  <r>
    <s v="V"/>
    <x v="59"/>
    <x v="0"/>
    <d v="2018-03-01T00:00:00"/>
    <d v="2019-02-28T00:00:00"/>
    <s v="Miscellaneous"/>
    <n v="5"/>
    <s v="Juli"/>
    <s v="Ahmedabad"/>
    <x v="5"/>
    <x v="1"/>
    <n v="14627.5"/>
    <d v="2018-03-01T00:00:00"/>
    <s v="Brokerage"/>
    <s v="Inception"/>
    <m/>
    <d v="2020-01-22T00:00:00"/>
  </r>
  <r>
    <s v="V"/>
    <x v="60"/>
    <x v="0"/>
    <d v="2018-03-01T00:00:00"/>
    <d v="2019-02-28T00:00:00"/>
    <s v="Miscellaneous"/>
    <n v="5"/>
    <s v="Juli"/>
    <s v="Ahmedabad"/>
    <x v="5"/>
    <x v="1"/>
    <n v="2020.5"/>
    <d v="2018-03-01T00:00:00"/>
    <s v="Brokerage"/>
    <s v="Inception"/>
    <m/>
    <d v="2020-01-22T00:00:00"/>
  </r>
  <r>
    <s v="V"/>
    <x v="61"/>
    <x v="0"/>
    <d v="2018-03-01T00:00:00"/>
    <d v="2019-02-28T00:00:00"/>
    <s v="Miscellaneous"/>
    <n v="5"/>
    <s v="Juli"/>
    <s v="Ahmedabad"/>
    <x v="5"/>
    <x v="1"/>
    <n v="625.13"/>
    <d v="2018-03-01T00:00:00"/>
    <s v="Brokerage"/>
    <s v="Inception"/>
    <m/>
    <d v="2020-01-22T00:00:00"/>
  </r>
  <r>
    <s v="V"/>
    <x v="62"/>
    <x v="0"/>
    <d v="2018-03-01T00:00:00"/>
    <d v="2019-02-28T00:00:00"/>
    <s v="Miscellaneous"/>
    <n v="5"/>
    <s v="Juli"/>
    <s v="Ahmedabad"/>
    <x v="5"/>
    <x v="2"/>
    <n v="417"/>
    <d v="2018-03-01T00:00:00"/>
    <s v="Brokerage"/>
    <s v="Inception"/>
    <m/>
    <d v="2020-01-22T00:00:00"/>
  </r>
  <r>
    <s v="V"/>
    <x v="63"/>
    <x v="0"/>
    <d v="2018-03-01T00:00:00"/>
    <d v="2019-02-28T00:00:00"/>
    <s v="Miscellaneous"/>
    <n v="5"/>
    <s v="Juli"/>
    <s v="Ahmedabad"/>
    <x v="5"/>
    <x v="1"/>
    <n v="687.63"/>
    <d v="2018-03-01T00:00:00"/>
    <s v="Brokerage"/>
    <s v="Inception"/>
    <m/>
    <d v="2020-01-22T00:00:00"/>
  </r>
  <r>
    <s v="V"/>
    <x v="64"/>
    <x v="0"/>
    <d v="2018-03-01T00:00:00"/>
    <d v="2019-02-28T00:00:00"/>
    <s v="Liability"/>
    <n v="5"/>
    <s v="Juli"/>
    <s v="Ahmedabad"/>
    <x v="5"/>
    <x v="1"/>
    <n v="374.88"/>
    <d v="2018-03-01T00:00:00"/>
    <s v="Brokerage"/>
    <s v="Inception"/>
    <m/>
    <d v="2020-01-22T00:00:00"/>
  </r>
  <r>
    <s v="V"/>
    <x v="65"/>
    <x v="0"/>
    <d v="2018-03-01T00:00:00"/>
    <d v="2019-02-28T00:00:00"/>
    <s v="Miscellaneous"/>
    <n v="5"/>
    <s v="Juli"/>
    <s v="Ahmedabad"/>
    <x v="5"/>
    <x v="1"/>
    <n v="3537.25"/>
    <d v="2018-03-01T00:00:00"/>
    <s v="Brokerage"/>
    <s v="Inception"/>
    <m/>
    <d v="2020-01-22T00:00:00"/>
  </r>
  <r>
    <s v="V"/>
    <x v="66"/>
    <x v="0"/>
    <d v="2018-03-01T00:00:00"/>
    <d v="2019-02-28T00:00:00"/>
    <s v="Miscellaneous"/>
    <n v="5"/>
    <s v="Juli"/>
    <s v="Ahmedabad"/>
    <x v="5"/>
    <x v="1"/>
    <n v="8881.5"/>
    <d v="2018-03-01T00:00:00"/>
    <s v="Brokerage"/>
    <s v="Inception"/>
    <m/>
    <d v="2020-01-22T00:00:00"/>
  </r>
  <r>
    <s v="AA"/>
    <x v="67"/>
    <x v="0"/>
    <d v="2019-05-23T00:00:00"/>
    <d v="2020-05-22T00:00:00"/>
    <s v="Liability"/>
    <n v="1"/>
    <s v="Vinay"/>
    <s v="Ahmedabad"/>
    <x v="2"/>
    <x v="0"/>
    <n v="28125"/>
    <d v="2019-05-23T00:00:00"/>
    <s v="Brokerage"/>
    <s v="Inception"/>
    <m/>
    <d v="2020-01-22T00:00:00"/>
  </r>
  <r>
    <s v="AA"/>
    <x v="68"/>
    <x v="0"/>
    <d v="2019-05-23T00:00:00"/>
    <d v="2020-05-22T00:00:00"/>
    <s v="Liability"/>
    <n v="1"/>
    <s v="Vinay"/>
    <s v="Ahmedabad"/>
    <x v="2"/>
    <x v="0"/>
    <n v="131250"/>
    <d v="2019-05-23T00:00:00"/>
    <s v="Brokerage"/>
    <s v="Inception"/>
    <m/>
    <d v="2020-01-22T00:00:00"/>
  </r>
  <r>
    <s v="BB"/>
    <x v="69"/>
    <x v="1"/>
    <d v="2018-09-05T00:00:00"/>
    <d v="2019-09-04T00:00:00"/>
    <s v="Miscellaneous"/>
    <n v="3"/>
    <s v="Animesh Rawat"/>
    <s v="Ahmedabad"/>
    <x v="6"/>
    <x v="0"/>
    <n v="6058.38"/>
    <d v="2018-09-05T00:00:00"/>
    <s v="Brokerage"/>
    <s v="Inception"/>
    <m/>
    <d v="2020-01-22T00:00:00"/>
  </r>
  <r>
    <s v="BB"/>
    <x v="70"/>
    <x v="0"/>
    <d v="2017-10-17T00:00:00"/>
    <d v="2018-10-16T00:00:00"/>
    <s v="Fire"/>
    <n v="3"/>
    <s v="Animesh Rawat"/>
    <s v="Ahmedabad"/>
    <x v="6"/>
    <x v="0"/>
    <n v="29608.99"/>
    <d v="2017-10-17T00:00:00"/>
    <s v="Brokerage"/>
    <s v="Inception"/>
    <m/>
    <d v="2020-01-22T00:00:00"/>
  </r>
  <r>
    <s v="BB"/>
    <x v="70"/>
    <x v="0"/>
    <d v="2017-10-17T00:00:00"/>
    <d v="2018-10-16T00:00:00"/>
    <s v="Fire"/>
    <n v="3"/>
    <s v="Animesh Rawat"/>
    <s v="Ahmedabad"/>
    <x v="6"/>
    <x v="0"/>
    <n v="29638.400000000001"/>
    <d v="2017-10-17T00:00:00"/>
    <s v="Brokerage"/>
    <s v="Inception"/>
    <m/>
    <d v="2020-01-22T00:00:00"/>
  </r>
  <r>
    <s v="BB"/>
    <x v="70"/>
    <x v="0"/>
    <d v="2017-10-17T00:00:00"/>
    <d v="2018-10-16T00:00:00"/>
    <s v="Fire"/>
    <n v="3"/>
    <s v="Animesh Rawat"/>
    <s v="Ahmedabad"/>
    <x v="6"/>
    <x v="0"/>
    <n v="237107.16"/>
    <d v="2017-10-17T00:00:00"/>
    <s v="Brokerage"/>
    <s v="Inception"/>
    <m/>
    <d v="2020-01-22T00:00:00"/>
  </r>
  <r>
    <s v="BB"/>
    <x v="71"/>
    <x v="0"/>
    <d v="2018-10-17T00:00:00"/>
    <d v="2019-10-16T00:00:00"/>
    <s v="Miscellaneous"/>
    <n v="3"/>
    <s v="Animesh Rawat"/>
    <s v="Ahmedabad"/>
    <x v="6"/>
    <x v="0"/>
    <n v="295501.76"/>
    <d v="2018-10-17T00:00:00"/>
    <s v="Brokerage"/>
    <s v="Inception"/>
    <m/>
    <d v="2020-01-22T00:00:00"/>
  </r>
  <r>
    <s v="BB"/>
    <x v="72"/>
    <x v="0"/>
    <d v="2019-09-05T00:00:00"/>
    <d v="2020-09-04T00:00:00"/>
    <s v="Miscellaneous"/>
    <n v="3"/>
    <s v="Animesh Rawat"/>
    <s v="Ahmedabad"/>
    <x v="6"/>
    <x v="0"/>
    <n v="5612.25"/>
    <d v="2019-09-05T00:00:00"/>
    <s v="Brokerage"/>
    <s v="Renewal"/>
    <m/>
    <d v="2020-01-22T00:00:00"/>
  </r>
  <r>
    <s v="BB"/>
    <x v="73"/>
    <x v="0"/>
    <d v="2018-01-01T00:00:00"/>
    <d v="2018-12-31T00:00:00"/>
    <s v="Liability"/>
    <n v="3"/>
    <s v="Animesh Rawat"/>
    <s v="Ahmedabad"/>
    <x v="6"/>
    <x v="0"/>
    <n v="30875"/>
    <d v="2018-01-01T00:00:00"/>
    <s v="Brokerage"/>
    <s v="Inception"/>
    <m/>
    <d v="2020-01-22T00:00:00"/>
  </r>
  <r>
    <s v="BB"/>
    <x v="74"/>
    <x v="0"/>
    <d v="2019-08-26T00:00:00"/>
    <d v="2020-08-25T00:00:00"/>
    <s v="Miscellaneous"/>
    <n v="3"/>
    <s v="Animesh Rawat"/>
    <s v="Ahmedabad"/>
    <x v="6"/>
    <x v="2"/>
    <n v="7022.25"/>
    <d v="2019-08-26T00:00:00"/>
    <s v="Brokerage"/>
    <s v="Inception"/>
    <m/>
    <d v="2020-01-22T00:00:00"/>
  </r>
  <r>
    <s v="BB"/>
    <x v="75"/>
    <x v="0"/>
    <d v="2019-01-01T00:00:00"/>
    <d v="2019-12-31T00:00:00"/>
    <s v="Marine"/>
    <n v="3"/>
    <s v="Animesh Rawat"/>
    <s v="Ahmedabad"/>
    <x v="6"/>
    <x v="2"/>
    <n v="77787.360000000001"/>
    <d v="2019-01-01T00:00:00"/>
    <s v="Brokerage"/>
    <s v="Inception"/>
    <m/>
    <d v="2020-01-22T00:00:00"/>
  </r>
  <r>
    <s v="BB"/>
    <x v="76"/>
    <x v="0"/>
    <d v="2019-01-01T00:00:00"/>
    <d v="2019-12-31T00:00:00"/>
    <s v="Liability"/>
    <n v="3"/>
    <s v="Animesh Rawat"/>
    <s v="Ahmedabad"/>
    <x v="6"/>
    <x v="2"/>
    <n v="30048.080000000002"/>
    <d v="2019-01-01T00:00:00"/>
    <s v="Brokerage"/>
    <s v="Inception"/>
    <m/>
    <d v="2020-01-22T00:00:00"/>
  </r>
  <r>
    <s v="BB"/>
    <x v="77"/>
    <x v="0"/>
    <d v="2019-09-16T00:00:00"/>
    <d v="2020-09-15T00:00:00"/>
    <s v="Employee Benefits"/>
    <n v="3"/>
    <s v="Animesh Rawat"/>
    <s v="Ahmedabad"/>
    <x v="6"/>
    <x v="2"/>
    <n v="7690.95"/>
    <d v="2019-09-16T00:00:00"/>
    <s v="Brokerage"/>
    <s v="Inception"/>
    <m/>
    <d v="2020-01-22T00:00:00"/>
  </r>
  <r>
    <s v="BB"/>
    <x v="78"/>
    <x v="1"/>
    <d v="2018-08-10T00:00:00"/>
    <d v="2019-08-09T00:00:00"/>
    <s v="Miscellaneous"/>
    <n v="12"/>
    <s v="Shivani Sharma"/>
    <s v="Ahmedabad"/>
    <x v="6"/>
    <x v="0"/>
    <n v="86400"/>
    <d v="2018-08-10T00:00:00"/>
    <s v="Brokerage"/>
    <s v="Inception"/>
    <m/>
    <d v="2020-01-22T00:00:00"/>
  </r>
  <r>
    <s v="BB"/>
    <x v="78"/>
    <x v="1"/>
    <d v="2018-08-10T00:00:00"/>
    <d v="2019-08-09T00:00:00"/>
    <s v="Miscellaneous"/>
    <n v="12"/>
    <s v="Shivani Sharma"/>
    <s v="Ahmedabad"/>
    <x v="6"/>
    <x v="0"/>
    <n v="345705"/>
    <d v="2018-08-10T00:00:00"/>
    <s v="Brokerage"/>
    <s v="Inception"/>
    <m/>
    <d v="2020-01-22T00:00:00"/>
  </r>
  <r>
    <s v="BB"/>
    <x v="79"/>
    <x v="0"/>
    <d v="2019-08-10T00:00:00"/>
    <d v="2020-08-09T00:00:00"/>
    <s v="Miscellaneous"/>
    <n v="3"/>
    <s v="Animesh Rawat"/>
    <s v="Ahmedabad"/>
    <x v="6"/>
    <x v="0"/>
    <n v="77400"/>
    <d v="2019-08-10T00:00:00"/>
    <s v="Brokerage"/>
    <s v="Renewal"/>
    <m/>
    <d v="2020-01-22T00:00:00"/>
  </r>
  <r>
    <s v="BB"/>
    <x v="79"/>
    <x v="0"/>
    <d v="2019-08-10T00:00:00"/>
    <d v="2020-08-09T00:00:00"/>
    <s v="Miscellaneous"/>
    <n v="3"/>
    <s v="Animesh Rawat"/>
    <s v="Ahmedabad"/>
    <x v="6"/>
    <x v="0"/>
    <n v="302811.08"/>
    <d v="2019-08-10T00:00:00"/>
    <s v="Brokerage"/>
    <s v="Renewal"/>
    <m/>
    <d v="2020-01-22T00:00:00"/>
  </r>
  <r>
    <s v="BB"/>
    <x v="80"/>
    <x v="0"/>
    <d v="2018-07-01T00:00:00"/>
    <d v="2019-06-30T00:00:00"/>
    <s v="Liability"/>
    <n v="12"/>
    <s v="Shivani Sharma"/>
    <s v="Ahmedabad"/>
    <x v="6"/>
    <x v="0"/>
    <n v="1183.3800000000001"/>
    <d v="2018-07-01T00:00:00"/>
    <s v="Brokerage"/>
    <s v="Inception"/>
    <m/>
    <d v="2020-01-22T00:00:00"/>
  </r>
  <r>
    <s v="S"/>
    <x v="81"/>
    <x v="0"/>
    <d v="2018-09-16T00:00:00"/>
    <d v="2019-09-15T00:00:00"/>
    <s v="Fire"/>
    <n v="1"/>
    <s v="Vinay"/>
    <s v="Ahmedabad"/>
    <x v="4"/>
    <x v="0"/>
    <n v="33977.82"/>
    <d v="2018-09-16T00:00:00"/>
    <s v="Brokerage"/>
    <s v="Inception"/>
    <m/>
    <d v="2020-01-22T00:00:00"/>
  </r>
  <r>
    <s v="BB"/>
    <x v="82"/>
    <x v="0"/>
    <d v="2017-11-27T00:00:00"/>
    <d v="2020-11-26T00:00:00"/>
    <s v="Engineering"/>
    <n v="11"/>
    <s v="Raju Kumar"/>
    <s v="Ahmedabad"/>
    <x v="1"/>
    <x v="2"/>
    <n v="25303.02"/>
    <d v="2018-05-27T00:00:00"/>
    <s v="Brokerage"/>
    <s v="Inception"/>
    <m/>
    <d v="2020-01-22T00:00:00"/>
  </r>
  <r>
    <s v="BB"/>
    <x v="82"/>
    <x v="0"/>
    <d v="2017-11-27T00:00:00"/>
    <d v="2020-11-26T00:00:00"/>
    <s v="Engineering"/>
    <n v="11"/>
    <s v="Raju Kumar"/>
    <s v="Ahmedabad"/>
    <x v="1"/>
    <x v="2"/>
    <n v="25302.959999999999"/>
    <d v="2019-05-27T00:00:00"/>
    <s v="Brokerage"/>
    <s v="Inception"/>
    <m/>
    <d v="2020-01-22T00:00:00"/>
  </r>
  <r>
    <s v="BB"/>
    <x v="82"/>
    <x v="0"/>
    <d v="2017-11-27T00:00:00"/>
    <d v="2020-11-26T00:00:00"/>
    <s v="Engineering"/>
    <n v="11"/>
    <s v="Raju Kumar"/>
    <s v="Ahmedabad"/>
    <x v="1"/>
    <x v="2"/>
    <n v="25302.959999999999"/>
    <d v="2019-08-27T00:00:00"/>
    <s v="Brokerage"/>
    <s v="Inception"/>
    <m/>
    <d v="2020-01-22T00:00:00"/>
  </r>
  <r>
    <s v="BB"/>
    <x v="82"/>
    <x v="0"/>
    <d v="2017-11-27T00:00:00"/>
    <d v="2020-11-26T00:00:00"/>
    <s v="Engineering"/>
    <n v="11"/>
    <s v="Raju Kumar"/>
    <s v="Ahmedabad"/>
    <x v="1"/>
    <x v="2"/>
    <n v="25302.959999999999"/>
    <d v="2019-11-27T00:00:00"/>
    <s v="Brokerage"/>
    <s v="Inception"/>
    <m/>
    <d v="2020-01-22T00:00:00"/>
  </r>
  <r>
    <s v="BB"/>
    <x v="82"/>
    <x v="0"/>
    <d v="2017-11-27T00:00:00"/>
    <d v="2020-11-26T00:00:00"/>
    <s v="Engineering"/>
    <n v="11"/>
    <s v="Raju Kumar"/>
    <s v="Ahmedabad"/>
    <x v="1"/>
    <x v="2"/>
    <n v="25302.959999999999"/>
    <d v="2020-02-27T00:00:00"/>
    <s v="Brokerage"/>
    <s v="Inception"/>
    <m/>
    <d v="2020-01-22T00:00:00"/>
  </r>
  <r>
    <s v="BB"/>
    <x v="82"/>
    <x v="0"/>
    <d v="2017-11-27T00:00:00"/>
    <d v="2020-11-26T00:00:00"/>
    <s v="Engineering"/>
    <n v="11"/>
    <s v="Raju Kumar"/>
    <s v="Ahmedabad"/>
    <x v="1"/>
    <x v="2"/>
    <n v="25302.959999999999"/>
    <d v="2020-05-27T00:00:00"/>
    <s v="Brokerage"/>
    <s v="Inception"/>
    <m/>
    <d v="2020-01-22T00:00:00"/>
  </r>
  <r>
    <s v="BB"/>
    <x v="82"/>
    <x v="0"/>
    <d v="2017-11-27T00:00:00"/>
    <d v="2020-11-26T00:00:00"/>
    <s v="Engineering"/>
    <n v="11"/>
    <s v="Raju Kumar"/>
    <s v="Ahmedabad"/>
    <x v="1"/>
    <x v="2"/>
    <n v="25302.959999999999"/>
    <d v="2018-08-27T00:00:00"/>
    <s v="Brokerage"/>
    <s v="Inception"/>
    <m/>
    <d v="2020-01-22T00:00:00"/>
  </r>
  <r>
    <s v="BB"/>
    <x v="82"/>
    <x v="0"/>
    <d v="2017-11-27T00:00:00"/>
    <d v="2020-11-26T00:00:00"/>
    <s v="Engineering"/>
    <n v="11"/>
    <s v="Raju Kumar"/>
    <s v="Ahmedabad"/>
    <x v="1"/>
    <x v="2"/>
    <n v="25302.959999999999"/>
    <d v="2018-11-27T00:00:00"/>
    <s v="Brokerage"/>
    <s v="Inception"/>
    <m/>
    <d v="2020-01-22T00:00:00"/>
  </r>
  <r>
    <s v="BB"/>
    <x v="82"/>
    <x v="0"/>
    <d v="2017-11-27T00:00:00"/>
    <d v="2020-11-26T00:00:00"/>
    <s v="Engineering"/>
    <n v="11"/>
    <s v="Raju Kumar"/>
    <s v="Ahmedabad"/>
    <x v="1"/>
    <x v="2"/>
    <n v="25302.959999999999"/>
    <d v="2019-02-27T00:00:00"/>
    <s v="Brokerage"/>
    <s v="Inception"/>
    <m/>
    <d v="2020-01-22T00:00:00"/>
  </r>
  <r>
    <s v="BB"/>
    <x v="82"/>
    <x v="0"/>
    <d v="2017-11-27T00:00:00"/>
    <d v="2020-11-26T00:00:00"/>
    <s v="Engineering"/>
    <n v="11"/>
    <s v="Raju Kumar"/>
    <s v="Ahmedabad"/>
    <x v="1"/>
    <x v="2"/>
    <n v="25303.02"/>
    <d v="2018-02-27T00:00:00"/>
    <s v="Brokerage"/>
    <s v="Inception"/>
    <m/>
    <d v="2020-01-22T00:00:00"/>
  </r>
  <r>
    <s v="BB"/>
    <x v="82"/>
    <x v="0"/>
    <d v="2017-11-27T00:00:00"/>
    <d v="2020-11-26T00:00:00"/>
    <s v="Engineering"/>
    <n v="11"/>
    <s v="Raju Kumar"/>
    <s v="Ahmedabad"/>
    <x v="1"/>
    <x v="2"/>
    <n v="39952.080000000002"/>
    <d v="2017-11-27T00:00:00"/>
    <s v="Brokerage"/>
    <s v="Inception"/>
    <m/>
    <d v="2020-01-22T00:00:00"/>
  </r>
  <r>
    <s v="BB"/>
    <x v="83"/>
    <x v="1"/>
    <d v="2018-02-27T00:00:00"/>
    <d v="2019-02-26T00:00:00"/>
    <s v="Fire"/>
    <n v="1"/>
    <s v="Vinay"/>
    <s v="Ahmedabad"/>
    <x v="4"/>
    <x v="0"/>
    <n v="562.24"/>
    <d v="2018-02-27T00:00:00"/>
    <s v="Brokerage"/>
    <s v="Inception"/>
    <m/>
    <d v="2020-01-22T00:00:00"/>
  </r>
  <r>
    <s v="BB"/>
    <x v="84"/>
    <x v="0"/>
    <d v="2019-02-27T00:00:00"/>
    <d v="2020-02-26T00:00:00"/>
    <s v="Fire"/>
    <n v="1"/>
    <s v="Vinay"/>
    <s v="Ahmedabad"/>
    <x v="4"/>
    <x v="0"/>
    <n v="628.70000000000005"/>
    <d v="2019-03-02T00:00:00"/>
    <s v="Brokerage"/>
    <s v="Renewal"/>
    <m/>
    <d v="2020-01-22T00:00:00"/>
  </r>
  <r>
    <s v="BB"/>
    <x v="85"/>
    <x v="1"/>
    <d v="2018-04-01T00:00:00"/>
    <d v="2019-03-31T00:00:00"/>
    <s v="Liability"/>
    <n v="12"/>
    <s v="Shivani Sharma"/>
    <s v="Ahmedabad"/>
    <x v="6"/>
    <x v="0"/>
    <n v="5075.5"/>
    <d v="2018-04-01T00:00:00"/>
    <s v="Brokerage"/>
    <s v="Inception"/>
    <m/>
    <d v="2020-01-22T00:00:00"/>
  </r>
  <r>
    <s v="BB"/>
    <x v="86"/>
    <x v="0"/>
    <d v="2019-04-01T00:00:00"/>
    <d v="2020-03-31T00:00:00"/>
    <s v="Liability"/>
    <n v="3"/>
    <s v="Animesh Rawat"/>
    <s v="Ahmedabad"/>
    <x v="6"/>
    <x v="0"/>
    <n v="5206"/>
    <d v="2019-04-01T00:00:00"/>
    <s v="Brokerage"/>
    <s v="Renewal"/>
    <m/>
    <d v="2020-01-22T00:00:00"/>
  </r>
  <r>
    <s v="EE"/>
    <x v="87"/>
    <x v="0"/>
    <d v="2019-01-29T00:00:00"/>
    <d v="2020-01-28T00:00:00"/>
    <s v="Fire"/>
    <n v="13"/>
    <s v="Vididt Saha"/>
    <s v="Ahmedabad"/>
    <x v="4"/>
    <x v="1"/>
    <n v="5462.5"/>
    <d v="2019-01-29T00:00:00"/>
    <s v="Brokerage"/>
    <s v="Inception"/>
    <m/>
    <d v="2020-01-22T00:00:00"/>
  </r>
  <r>
    <s v="EE"/>
    <x v="88"/>
    <x v="0"/>
    <d v="2019-01-07T00:00:00"/>
    <d v="2020-01-06T00:00:00"/>
    <s v="Marine"/>
    <n v="1"/>
    <s v="Vinay"/>
    <s v="Ahmedabad"/>
    <x v="0"/>
    <x v="0"/>
    <n v="13612.5"/>
    <d v="2019-01-07T00:00:00"/>
    <s v="Brokerage"/>
    <s v="Endorsement"/>
    <m/>
    <d v="2020-01-22T00:00:00"/>
  </r>
  <r>
    <s v="EE"/>
    <x v="88"/>
    <x v="0"/>
    <d v="2019-01-07T00:00:00"/>
    <d v="2020-01-06T00:00:00"/>
    <s v="Marine"/>
    <n v="1"/>
    <s v="Vinay"/>
    <s v="Ahmedabad"/>
    <x v="0"/>
    <x v="0"/>
    <n v="6991.55"/>
    <d v="2019-04-04T00:00:00"/>
    <s v="Brokerage "/>
    <s v="Endorsement"/>
    <m/>
    <d v="2020-01-22T00:00:00"/>
  </r>
  <r>
    <s v="EE"/>
    <x v="89"/>
    <x v="0"/>
    <d v="2018-08-27T00:00:00"/>
    <d v="2019-08-26T00:00:00"/>
    <s v="Liability"/>
    <n v="1"/>
    <s v="Vinay"/>
    <s v="Ahmedabad"/>
    <x v="2"/>
    <x v="0"/>
    <n v="13750"/>
    <d v="2018-08-27T00:00:00"/>
    <s v="Brokerage"/>
    <s v="Inception"/>
    <m/>
    <d v="2020-01-22T00:00:00"/>
  </r>
  <r>
    <s v="EE"/>
    <x v="90"/>
    <x v="0"/>
    <d v="2019-03-19T00:00:00"/>
    <d v="2020-03-18T00:00:00"/>
    <s v="Liability"/>
    <n v="13"/>
    <s v="Vididt Saha"/>
    <s v="Ahmedabad"/>
    <x v="2"/>
    <x v="1"/>
    <n v="70125"/>
    <d v="2019-03-19T00:00:00"/>
    <s v="Brokerage"/>
    <s v="Inception"/>
    <m/>
    <d v="2020-01-22T00:00:00"/>
  </r>
  <r>
    <s v="EE"/>
    <x v="91"/>
    <x v="0"/>
    <d v="2019-03-19T00:00:00"/>
    <d v="2020-03-18T00:00:00"/>
    <s v="Liability"/>
    <n v="13"/>
    <s v="Vididt Saha"/>
    <s v="Ahmedabad"/>
    <x v="2"/>
    <x v="1"/>
    <n v="70125"/>
    <d v="2019-03-19T00:00:00"/>
    <s v="Brokerage"/>
    <s v="Inception"/>
    <m/>
    <d v="2020-01-22T00:00:00"/>
  </r>
  <r>
    <s v="EE"/>
    <x v="92"/>
    <x v="1"/>
    <d v="2018-04-01T00:00:00"/>
    <d v="2019-03-31T00:00:00"/>
    <s v="Marine"/>
    <n v="3"/>
    <s v="Animesh Rawat"/>
    <s v="Ahmedabad"/>
    <x v="6"/>
    <x v="0"/>
    <n v="208122.92"/>
    <d v="2018-04-01T00:00:00"/>
    <s v="Brokerage"/>
    <s v="Inception"/>
    <m/>
    <d v="2020-01-22T00:00:00"/>
  </r>
  <r>
    <s v="EE"/>
    <x v="93"/>
    <x v="1"/>
    <d v="2018-03-01T00:00:00"/>
    <d v="2019-02-28T00:00:00"/>
    <s v="Marine"/>
    <n v="3"/>
    <s v="Animesh Rawat"/>
    <s v="Ahmedabad"/>
    <x v="6"/>
    <x v="0"/>
    <n v="45375.15"/>
    <d v="2018-03-01T00:00:00"/>
    <s v="Brokerage"/>
    <s v="Endorsement"/>
    <m/>
    <d v="2020-01-22T00:00:00"/>
  </r>
  <r>
    <s v="EE"/>
    <x v="93"/>
    <x v="1"/>
    <d v="2018-03-01T00:00:00"/>
    <d v="2019-02-28T00:00:00"/>
    <s v="Marine"/>
    <n v="3"/>
    <s v="Animesh Rawat"/>
    <s v="Ahmedabad"/>
    <x v="6"/>
    <x v="0"/>
    <n v="18150"/>
    <d v="2019-01-03T00:00:00"/>
    <s v="Brokerage "/>
    <s v="Endorsement"/>
    <m/>
    <d v="2020-01-22T00:00:00"/>
  </r>
  <r>
    <s v="EE"/>
    <x v="94"/>
    <x v="0"/>
    <d v="2019-03-01T00:00:00"/>
    <d v="2020-06-30T00:00:00"/>
    <s v="Marine"/>
    <n v="3"/>
    <s v="Animesh Rawat"/>
    <s v="Ahmedabad"/>
    <x v="6"/>
    <x v="0"/>
    <n v="45375.15"/>
    <d v="2019-03-01T00:00:00"/>
    <s v="Brokerage"/>
    <s v="Endorsement"/>
    <m/>
    <d v="2020-01-22T00:00:00"/>
  </r>
  <r>
    <s v="EE"/>
    <x v="94"/>
    <x v="0"/>
    <d v="2019-03-01T00:00:00"/>
    <d v="2020-02-29T00:00:00"/>
    <s v="Marine"/>
    <n v="3"/>
    <s v="Animesh Rawat"/>
    <s v="Ahmedabad"/>
    <x v="6"/>
    <x v="0"/>
    <n v="45375"/>
    <d v="2019-07-20T00:00:00"/>
    <s v="Brokerage "/>
    <s v="Endorsement"/>
    <m/>
    <d v="2020-01-22T00:00:00"/>
  </r>
  <r>
    <s v="EE"/>
    <x v="94"/>
    <x v="0"/>
    <d v="2019-03-01T00:00:00"/>
    <d v="2020-02-29T00:00:00"/>
    <s v="Marine"/>
    <n v="3"/>
    <s v="Animesh Rawat"/>
    <s v="Ahmedabad"/>
    <x v="6"/>
    <x v="0"/>
    <n v="0"/>
    <m/>
    <s v="Brokerage "/>
    <s v="Endorsement"/>
    <m/>
    <d v="2020-01-22T00:00:00"/>
  </r>
  <r>
    <s v="EE"/>
    <x v="95"/>
    <x v="1"/>
    <d v="2018-11-01T00:00:00"/>
    <d v="2019-10-31T00:00:00"/>
    <s v="Employee Benefits"/>
    <n v="10"/>
    <s v="Mark"/>
    <s v="Ahmedabad"/>
    <x v="3"/>
    <x v="0"/>
    <n v="6157.88"/>
    <d v="2018-11-01T00:00:00"/>
    <s v="Brokerage"/>
    <s v="Endorsement"/>
    <m/>
    <d v="2020-01-22T00:00:00"/>
  </r>
  <r>
    <s v="EE"/>
    <x v="95"/>
    <x v="1"/>
    <d v="2018-11-01T00:00:00"/>
    <d v="2019-10-31T00:00:00"/>
    <s v="Employee Benefits"/>
    <n v="10"/>
    <s v="Mark"/>
    <s v="Ahmedabad"/>
    <x v="3"/>
    <x v="0"/>
    <m/>
    <d v="2018-12-05T00:00:00"/>
    <s v="Brokerage "/>
    <s v="Endorsement"/>
    <m/>
    <d v="2020-01-22T00:00:00"/>
  </r>
  <r>
    <s v="EE"/>
    <x v="95"/>
    <x v="1"/>
    <d v="2018-11-01T00:00:00"/>
    <d v="2019-10-31T00:00:00"/>
    <s v="Employee Benefits"/>
    <n v="10"/>
    <s v="Mark"/>
    <s v="Ahmedabad"/>
    <x v="3"/>
    <x v="0"/>
    <n v="113.48"/>
    <d v="2019-02-08T00:00:00"/>
    <s v="Brokerage "/>
    <s v="Endorsement"/>
    <m/>
    <d v="2020-01-22T00:00:00"/>
  </r>
  <r>
    <s v="EE"/>
    <x v="95"/>
    <x v="0"/>
    <d v="2019-11-01T00:00:00"/>
    <d v="2020-10-31T00:00:00"/>
    <s v="Employee Benefits"/>
    <n v="10"/>
    <s v="Mark"/>
    <s v="Ahmedabad"/>
    <x v="3"/>
    <x v="0"/>
    <n v="4302.3"/>
    <d v="2019-11-01T00:00:00"/>
    <s v="Brokerage"/>
    <s v="Renewal"/>
    <m/>
    <d v="2020-01-22T00:00:00"/>
  </r>
  <r>
    <s v="EE"/>
    <x v="96"/>
    <x v="0"/>
    <d v="2019-05-17T00:00:00"/>
    <d v="2020-05-16T00:00:00"/>
    <s v="Employee Benefits"/>
    <n v="10"/>
    <s v="Mark"/>
    <s v="Ahmedabad"/>
    <x v="3"/>
    <x v="0"/>
    <n v="52500"/>
    <d v="2019-05-17T00:00:00"/>
    <s v="Brokerage"/>
    <s v="Inception"/>
    <m/>
    <d v="2020-01-22T00:00:00"/>
  </r>
  <r>
    <s v="EE"/>
    <x v="97"/>
    <x v="1"/>
    <d v="2018-07-01T00:00:00"/>
    <d v="2019-06-30T00:00:00"/>
    <s v="Miscellaneous"/>
    <n v="3"/>
    <s v="Animesh Rawat"/>
    <s v="Ahmedabad"/>
    <x v="6"/>
    <x v="2"/>
    <n v="1147.82"/>
    <d v="2019-06-30T00:00:00"/>
    <s v="Brokerage"/>
    <s v="Inception"/>
    <m/>
    <d v="2020-01-22T00:00:00"/>
  </r>
  <r>
    <s v="EE"/>
    <x v="98"/>
    <x v="1"/>
    <d v="2018-07-01T00:00:00"/>
    <d v="2019-06-30T00:00:00"/>
    <s v="Liability"/>
    <n v="3"/>
    <s v="Animesh Rawat"/>
    <s v="Ahmedabad"/>
    <x v="6"/>
    <x v="0"/>
    <n v="1896.63"/>
    <d v="2018-07-01T00:00:00"/>
    <s v="Brokerage"/>
    <s v="Inception"/>
    <m/>
    <d v="2020-01-22T00:00:00"/>
  </r>
  <r>
    <s v="EE"/>
    <x v="99"/>
    <x v="1"/>
    <d v="2018-07-02T00:00:00"/>
    <d v="2019-06-30T00:00:00"/>
    <s v="Liability"/>
    <n v="3"/>
    <s v="Animesh Rawat"/>
    <s v="Ahmedabad"/>
    <x v="6"/>
    <x v="0"/>
    <n v="0"/>
    <d v="2019-06-30T00:00:00"/>
    <s v="Brokerage"/>
    <s v="Inception"/>
    <m/>
    <d v="2020-01-22T00:00:00"/>
  </r>
  <r>
    <s v="EE"/>
    <x v="100"/>
    <x v="1"/>
    <d v="2018-07-01T00:00:00"/>
    <d v="2019-06-30T00:00:00"/>
    <s v="Liability"/>
    <n v="3"/>
    <s v="Animesh Rawat"/>
    <s v="Ahmedabad"/>
    <x v="6"/>
    <x v="0"/>
    <n v="48125"/>
    <d v="2018-07-01T00:00:00"/>
    <s v="Brokerage"/>
    <s v="Inception"/>
    <m/>
    <d v="2020-01-22T00:00:00"/>
  </r>
  <r>
    <s v="EE"/>
    <x v="101"/>
    <x v="1"/>
    <d v="2018-07-01T00:00:00"/>
    <d v="2019-06-30T00:00:00"/>
    <s v="Fire"/>
    <n v="3"/>
    <s v="Animesh Rawat"/>
    <s v="Ahmedabad"/>
    <x v="6"/>
    <x v="0"/>
    <n v="13560.92"/>
    <d v="2018-07-01T00:00:00"/>
    <s v="Brokerage"/>
    <s v="Inception"/>
    <m/>
    <d v="2020-01-22T00:00:00"/>
  </r>
  <r>
    <s v="EE"/>
    <x v="102"/>
    <x v="1"/>
    <d v="2018-07-01T00:00:00"/>
    <d v="2019-06-30T00:00:00"/>
    <s v="Fire"/>
    <n v="3"/>
    <s v="Animesh Rawat"/>
    <s v="Ahmedabad"/>
    <x v="6"/>
    <x v="0"/>
    <n v="55052.69"/>
    <d v="2018-07-01T00:00:00"/>
    <s v="Brokerage"/>
    <s v="Inception"/>
    <m/>
    <d v="2020-01-22T00:00:00"/>
  </r>
  <r>
    <s v="EE"/>
    <x v="103"/>
    <x v="1"/>
    <d v="2018-07-01T00:00:00"/>
    <d v="2019-06-30T00:00:00"/>
    <s v="Fire"/>
    <n v="3"/>
    <s v="Animesh Rawat"/>
    <s v="Ahmedabad"/>
    <x v="6"/>
    <x v="0"/>
    <n v="14131.43"/>
    <d v="2018-07-01T00:00:00"/>
    <s v="Brokerage"/>
    <s v="Inception"/>
    <m/>
    <d v="2020-01-22T00:00:00"/>
  </r>
  <r>
    <s v="EE"/>
    <x v="104"/>
    <x v="1"/>
    <d v="2018-07-01T00:00:00"/>
    <d v="2019-06-30T00:00:00"/>
    <s v="Miscellaneous"/>
    <n v="3"/>
    <s v="Animesh Rawat"/>
    <s v="Ahmedabad"/>
    <x v="6"/>
    <x v="0"/>
    <n v="3125"/>
    <d v="2018-07-01T00:00:00"/>
    <s v="Brokerage"/>
    <s v="Inception"/>
    <m/>
    <d v="2020-01-22T00:00:00"/>
  </r>
  <r>
    <s v="EE"/>
    <x v="105"/>
    <x v="1"/>
    <d v="2018-07-01T00:00:00"/>
    <d v="2019-06-30T00:00:00"/>
    <s v="Miscellaneous"/>
    <n v="3"/>
    <s v="Animesh Rawat"/>
    <s v="Ahmedabad"/>
    <x v="6"/>
    <x v="0"/>
    <n v="1125"/>
    <d v="2018-07-01T00:00:00"/>
    <s v="Brokerage"/>
    <s v="Inception"/>
    <m/>
    <d v="2020-01-22T00:00:00"/>
  </r>
  <r>
    <s v="EE"/>
    <x v="106"/>
    <x v="1"/>
    <d v="2018-07-01T00:00:00"/>
    <d v="2019-06-30T00:00:00"/>
    <s v="Miscellaneous"/>
    <n v="3"/>
    <s v="Animesh Rawat"/>
    <s v="Ahmedabad"/>
    <x v="6"/>
    <x v="0"/>
    <n v="4706.25"/>
    <d v="2018-07-01T00:00:00"/>
    <s v="Brokerage"/>
    <s v="Inception"/>
    <m/>
    <d v="2020-01-22T00:00:00"/>
  </r>
  <r>
    <s v="EE"/>
    <x v="107"/>
    <x v="0"/>
    <d v="2019-07-01T00:00:00"/>
    <d v="2020-06-30T00:00:00"/>
    <s v="Miscellaneous"/>
    <n v="3"/>
    <s v="Animesh Rawat"/>
    <s v="Ahmedabad"/>
    <x v="6"/>
    <x v="0"/>
    <n v="825"/>
    <d v="2019-07-01T00:00:00"/>
    <s v="Brokerage"/>
    <s v="Renewal"/>
    <m/>
    <d v="2020-01-22T00:00:00"/>
  </r>
  <r>
    <s v="EE"/>
    <x v="108"/>
    <x v="0"/>
    <d v="2019-07-01T00:00:00"/>
    <d v="2020-06-30T00:00:00"/>
    <s v="Liability"/>
    <n v="3"/>
    <s v="Animesh Rawat"/>
    <s v="Ahmedabad"/>
    <x v="6"/>
    <x v="0"/>
    <n v="1896.63"/>
    <d v="2019-07-01T00:00:00"/>
    <s v="Brokerage"/>
    <s v="Renewal"/>
    <m/>
    <d v="2020-01-22T00:00:00"/>
  </r>
  <r>
    <s v="EE"/>
    <x v="109"/>
    <x v="0"/>
    <d v="2019-08-02T00:00:00"/>
    <d v="2020-08-01T00:00:00"/>
    <s v="Liability"/>
    <n v="3"/>
    <s v="Animesh Rawat"/>
    <s v="Ahmedabad"/>
    <x v="6"/>
    <x v="0"/>
    <n v="19181.25"/>
    <d v="2019-08-02T00:00:00"/>
    <s v="Brokerage"/>
    <s v="Renewal"/>
    <m/>
    <d v="2020-01-22T00:00:00"/>
  </r>
  <r>
    <s v="EE"/>
    <x v="110"/>
    <x v="0"/>
    <d v="2019-07-01T00:00:00"/>
    <d v="2020-06-30T00:00:00"/>
    <s v="Liability"/>
    <n v="3"/>
    <s v="Animesh Rawat"/>
    <s v="Ahmedabad"/>
    <x v="6"/>
    <x v="0"/>
    <n v="42500"/>
    <d v="2019-07-01T00:00:00"/>
    <s v="Brokerage"/>
    <s v="Renewal"/>
    <m/>
    <d v="2020-01-22T00:00:00"/>
  </r>
  <r>
    <s v="EE"/>
    <x v="111"/>
    <x v="0"/>
    <d v="2019-07-01T00:00:00"/>
    <d v="2020-06-30T00:00:00"/>
    <s v="Fire"/>
    <n v="3"/>
    <s v="Animesh Rawat"/>
    <s v="Ahmedabad"/>
    <x v="6"/>
    <x v="0"/>
    <n v="10917.07"/>
    <d v="2019-07-01T00:00:00"/>
    <s v="Brokerage"/>
    <s v="Renewal"/>
    <m/>
    <d v="2020-01-22T00:00:00"/>
  </r>
  <r>
    <s v="EE"/>
    <x v="112"/>
    <x v="0"/>
    <d v="2019-07-01T00:00:00"/>
    <d v="2020-06-30T00:00:00"/>
    <s v="Fire"/>
    <n v="3"/>
    <s v="Animesh Rawat"/>
    <s v="Ahmedabad"/>
    <x v="6"/>
    <x v="0"/>
    <n v="60713.1"/>
    <d v="2019-07-01T00:00:00"/>
    <s v="Brokerage"/>
    <s v="Renewal"/>
    <m/>
    <d v="2020-01-22T00:00:00"/>
  </r>
  <r>
    <s v="EE"/>
    <x v="113"/>
    <x v="0"/>
    <d v="2019-07-01T00:00:00"/>
    <d v="2020-06-30T00:00:00"/>
    <s v="Fire"/>
    <n v="3"/>
    <s v="Animesh Rawat"/>
    <s v="Ahmedabad"/>
    <x v="6"/>
    <x v="0"/>
    <n v="12349.97"/>
    <d v="2019-07-01T00:00:00"/>
    <s v="Brokerage"/>
    <s v="Renewal"/>
    <m/>
    <d v="2020-01-22T00:00:00"/>
  </r>
  <r>
    <s v="EE"/>
    <x v="114"/>
    <x v="0"/>
    <d v="2019-07-01T00:00:00"/>
    <d v="2020-06-30T00:00:00"/>
    <s v="Miscellaneous"/>
    <n v="3"/>
    <s v="Animesh Rawat"/>
    <s v="Ahmedabad"/>
    <x v="6"/>
    <x v="0"/>
    <n v="3375"/>
    <d v="2019-07-01T00:00:00"/>
    <s v="Brokerage"/>
    <s v="Renewal"/>
    <m/>
    <d v="2020-01-22T00:00:00"/>
  </r>
  <r>
    <s v="EE"/>
    <x v="115"/>
    <x v="0"/>
    <d v="2019-07-01T00:00:00"/>
    <d v="2020-06-30T00:00:00"/>
    <s v="Miscellaneous"/>
    <n v="3"/>
    <s v="Animesh Rawat"/>
    <s v="Ahmedabad"/>
    <x v="6"/>
    <x v="0"/>
    <n v="875"/>
    <d v="2019-07-01T00:00:00"/>
    <s v="Brokerage"/>
    <s v="Renewal"/>
    <m/>
    <d v="2020-01-22T00:00:00"/>
  </r>
  <r>
    <s v="EE"/>
    <x v="116"/>
    <x v="0"/>
    <d v="2019-07-01T00:00:00"/>
    <d v="2020-06-30T00:00:00"/>
    <s v="Miscellaneous"/>
    <n v="3"/>
    <s v="Animesh Rawat"/>
    <s v="Ahmedabad"/>
    <x v="6"/>
    <x v="0"/>
    <n v="1556.25"/>
    <d v="2019-07-01T00:00:00"/>
    <s v="Brokerage"/>
    <s v="Renewal"/>
    <m/>
    <d v="2020-01-22T00:00:00"/>
  </r>
  <r>
    <s v="EE"/>
    <x v="117"/>
    <x v="1"/>
    <d v="2018-09-30T00:00:00"/>
    <d v="2019-09-29T00:00:00"/>
    <s v="Liability"/>
    <n v="3"/>
    <s v="Animesh Rawat"/>
    <s v="Ahmedabad"/>
    <x v="6"/>
    <x v="0"/>
    <n v="186534.13"/>
    <d v="2018-09-30T00:00:00"/>
    <s v="Brokerage"/>
    <s v="Inception"/>
    <m/>
    <d v="2020-01-22T00:00:00"/>
  </r>
  <r>
    <s v="EE"/>
    <x v="118"/>
    <x v="0"/>
    <d v="2019-09-30T00:00:00"/>
    <d v="2020-09-29T00:00:00"/>
    <s v="Liability"/>
    <n v="3"/>
    <s v="Animesh Rawat"/>
    <s v="Ahmedabad"/>
    <x v="6"/>
    <x v="0"/>
    <n v="202350"/>
    <d v="2019-09-30T00:00:00"/>
    <s v="Brokerage"/>
    <s v="Renewal"/>
    <m/>
    <d v="2020-01-22T00:00:00"/>
  </r>
  <r>
    <s v="EE"/>
    <x v="119"/>
    <x v="1"/>
    <d v="2018-03-16T00:00:00"/>
    <d v="2019-03-15T00:00:00"/>
    <s v="Miscellaneous"/>
    <n v="3"/>
    <s v="Animesh Rawat"/>
    <s v="Ahmedabad"/>
    <x v="6"/>
    <x v="2"/>
    <n v="750.63"/>
    <d v="2018-03-16T00:00:00"/>
    <s v="Brokerage"/>
    <s v="Inception"/>
    <m/>
    <d v="2020-01-22T00:00:00"/>
  </r>
  <r>
    <s v="EE"/>
    <x v="120"/>
    <x v="1"/>
    <d v="2019-03-16T00:00:00"/>
    <d v="2019-04-15T00:00:00"/>
    <s v="Miscellaneous"/>
    <n v="3"/>
    <s v="Animesh Rawat"/>
    <s v="Ahmedabad"/>
    <x v="6"/>
    <x v="0"/>
    <n v="63.75"/>
    <d v="2019-03-16T00:00:00"/>
    <s v="Brokerage"/>
    <s v="Renewal"/>
    <m/>
    <d v="2020-01-22T00:00:00"/>
  </r>
  <r>
    <s v="EE"/>
    <x v="121"/>
    <x v="0"/>
    <d v="2019-04-16T00:00:00"/>
    <d v="2020-04-15T00:00:00"/>
    <s v="Miscellaneous"/>
    <n v="3"/>
    <s v="Animesh Rawat"/>
    <s v="Ahmedabad"/>
    <x v="6"/>
    <x v="0"/>
    <n v="1556.5"/>
    <d v="2019-04-16T00:00:00"/>
    <s v="Brokerage"/>
    <s v="Renewal"/>
    <m/>
    <d v="2020-01-22T00:00:00"/>
  </r>
  <r>
    <s v="EE"/>
    <x v="122"/>
    <x v="1"/>
    <d v="2018-04-02T00:00:00"/>
    <d v="2019-04-01T00:00:00"/>
    <s v="Fire"/>
    <n v="3"/>
    <s v="Animesh Rawat"/>
    <s v="Ahmedabad"/>
    <x v="6"/>
    <x v="0"/>
    <n v="46087.63"/>
    <d v="2018-04-02T00:00:00"/>
    <s v="Brokerage"/>
    <s v="Inception"/>
    <m/>
    <d v="2020-01-22T00:00:00"/>
  </r>
  <r>
    <s v="EE"/>
    <x v="123"/>
    <x v="1"/>
    <d v="2019-04-02T00:00:00"/>
    <d v="2019-04-16T00:00:00"/>
    <s v="Miscellaneous"/>
    <n v="3"/>
    <s v="Animesh Rawat"/>
    <s v="Ahmedabad"/>
    <x v="6"/>
    <x v="0"/>
    <n v="4362.38"/>
    <d v="2019-04-02T00:00:00"/>
    <s v="Brokerage"/>
    <s v="Renewal"/>
    <m/>
    <d v="2020-01-22T00:00:00"/>
  </r>
  <r>
    <s v="EE"/>
    <x v="124"/>
    <x v="0"/>
    <d v="2019-04-17T00:00:00"/>
    <d v="2020-04-01T00:00:00"/>
    <s v="Miscellaneous"/>
    <n v="3"/>
    <s v="Animesh Rawat"/>
    <s v="Ahmedabad"/>
    <x v="6"/>
    <x v="0"/>
    <n v="65370"/>
    <d v="2019-04-17T00:00:00"/>
    <s v="Brokerage"/>
    <s v="Renewal"/>
    <m/>
    <d v="2020-01-22T00:00:00"/>
  </r>
  <r>
    <s v="EE"/>
    <x v="125"/>
    <x v="0"/>
    <d v="2019-09-30T00:00:00"/>
    <d v="2020-09-29T00:00:00"/>
    <s v="Marine"/>
    <n v="3"/>
    <s v="Animesh Rawat"/>
    <s v="Ahmedabad"/>
    <x v="6"/>
    <x v="2"/>
    <n v="44259.67"/>
    <d v="2019-09-30T00:00:00"/>
    <s v="Brokerage"/>
    <s v="Inception"/>
    <m/>
    <d v="2020-01-22T00:00:00"/>
  </r>
  <r>
    <s v="EE"/>
    <x v="126"/>
    <x v="0"/>
    <d v="2019-10-27T00:00:00"/>
    <d v="2020-10-26T00:00:00"/>
    <s v="Marine"/>
    <n v="3"/>
    <s v="Animesh Rawat"/>
    <s v="Ahmedabad"/>
    <x v="0"/>
    <x v="0"/>
    <n v="35112"/>
    <d v="2019-10-27T00:00:00"/>
    <s v="Brokerage"/>
    <s v="Renewal"/>
    <m/>
    <d v="2020-01-22T00:00:00"/>
  </r>
  <r>
    <s v="EE"/>
    <x v="126"/>
    <x v="0"/>
    <d v="2019-10-27T00:00:00"/>
    <d v="2020-10-26T00:00:00"/>
    <s v="Marine"/>
    <n v="3"/>
    <s v="Animesh Rawat"/>
    <s v="Ahmedabad"/>
    <x v="0"/>
    <x v="0"/>
    <n v="15048"/>
    <d v="2019-10-27T00:00:00"/>
    <s v="Brokerage"/>
    <s v="Renewal"/>
    <m/>
    <d v="2020-01-22T00:00:00"/>
  </r>
  <r>
    <s v="EE"/>
    <x v="127"/>
    <x v="1"/>
    <d v="2018-01-23T00:00:00"/>
    <d v="2019-01-22T00:00:00"/>
    <s v="Engineering"/>
    <n v="12"/>
    <s v="Shivani Sharma"/>
    <s v="Ahmedabad"/>
    <x v="6"/>
    <x v="0"/>
    <n v="1072.3399999999999"/>
    <d v="2018-01-23T00:00:00"/>
    <s v="Brokerage"/>
    <s v="Inception"/>
    <m/>
    <d v="2020-01-22T00:00:00"/>
  </r>
  <r>
    <s v="EE"/>
    <x v="128"/>
    <x v="0"/>
    <d v="2019-01-23T00:00:00"/>
    <d v="2020-01-22T00:00:00"/>
    <s v="Engineering"/>
    <n v="3"/>
    <s v="Animesh Rawat"/>
    <s v="Ahmedabad"/>
    <x v="6"/>
    <x v="0"/>
    <n v="1111.77"/>
    <d v="2019-01-23T00:00:00"/>
    <s v="Brokerage"/>
    <s v="Renewal"/>
    <m/>
    <d v="2020-01-22T00:00:00"/>
  </r>
  <r>
    <s v="EE"/>
    <x v="129"/>
    <x v="1"/>
    <d v="2018-07-31T00:00:00"/>
    <d v="2019-07-30T00:00:00"/>
    <s v="Engineering"/>
    <n v="3"/>
    <s v="Animesh Rawat"/>
    <s v="Ahmedabad"/>
    <x v="6"/>
    <x v="2"/>
    <n v="27057.200000000001"/>
    <d v="2018-07-31T00:00:00"/>
    <s v="Brokerage"/>
    <s v="Inception"/>
    <m/>
    <d v="2020-01-22T00:00:00"/>
  </r>
  <r>
    <s v="EE"/>
    <x v="130"/>
    <x v="0"/>
    <d v="2019-07-31T00:00:00"/>
    <d v="2020-07-30T00:00:00"/>
    <s v="Engineering"/>
    <n v="3"/>
    <s v="Animesh Rawat"/>
    <s v="Ahmedabad"/>
    <x v="6"/>
    <x v="2"/>
    <n v="87500"/>
    <d v="2019-07-31T00:00:00"/>
    <s v="Brokerage"/>
    <s v="Renewal"/>
    <m/>
    <d v="2020-01-22T00:00:00"/>
  </r>
  <r>
    <s v="EE"/>
    <x v="131"/>
    <x v="1"/>
    <d v="2018-11-27T00:00:00"/>
    <d v="2019-11-26T00:00:00"/>
    <s v="Employee Benefits"/>
    <n v="10"/>
    <s v="Mark"/>
    <s v="Ahmedabad"/>
    <x v="3"/>
    <x v="0"/>
    <n v="7647.1"/>
    <d v="2018-11-27T00:00:00"/>
    <s v="Brokerage"/>
    <s v="Inception"/>
    <m/>
    <d v="2020-01-22T00:00:00"/>
  </r>
  <r>
    <s v="EE"/>
    <x v="132"/>
    <x v="0"/>
    <d v="2019-11-27T00:00:00"/>
    <d v="2020-11-26T00:00:00"/>
    <s v="Employee Benefits"/>
    <n v="10"/>
    <s v="Mark"/>
    <s v="Ahmedabad"/>
    <x v="3"/>
    <x v="0"/>
    <n v="12491.85"/>
    <d v="2019-11-27T00:00:00"/>
    <s v="Brokerage"/>
    <s v="Renewal"/>
    <m/>
    <d v="2020-01-22T00:00:00"/>
  </r>
  <r>
    <s v="EE"/>
    <x v="133"/>
    <x v="1"/>
    <d v="2018-11-27T00:00:00"/>
    <d v="2019-11-26T00:00:00"/>
    <s v="Employee Benefits"/>
    <n v="10"/>
    <s v="Mark"/>
    <s v="Ahmedabad"/>
    <x v="3"/>
    <x v="0"/>
    <n v="30620.9"/>
    <d v="2018-11-27T00:00:00"/>
    <s v="Brokerage"/>
    <s v="Inception"/>
    <m/>
    <d v="2020-01-22T00:00:00"/>
  </r>
  <r>
    <s v="EE"/>
    <x v="134"/>
    <x v="0"/>
    <d v="2019-11-27T00:00:00"/>
    <d v="2020-11-26T00:00:00"/>
    <s v="Employee Benefits"/>
    <n v="10"/>
    <s v="Mark"/>
    <s v="Ahmedabad"/>
    <x v="3"/>
    <x v="0"/>
    <n v="61342.1"/>
    <d v="2019-11-27T00:00:00"/>
    <s v="Brokerage"/>
    <s v="Renewal"/>
    <m/>
    <d v="2020-01-22T00:00:00"/>
  </r>
  <r>
    <s v="EE"/>
    <x v="135"/>
    <x v="0"/>
    <d v="2018-04-13T00:00:00"/>
    <d v="2019-04-12T00:00:00"/>
    <s v="Miscellaneous"/>
    <n v="3"/>
    <s v="Animesh Rawat"/>
    <s v="Ahmedabad"/>
    <x v="6"/>
    <x v="0"/>
    <n v="3125"/>
    <d v="2018-04-13T00:00:00"/>
    <s v="Brokerage"/>
    <s v="Inception"/>
    <m/>
    <d v="2020-01-22T00:00:00"/>
  </r>
  <r>
    <s v="EE"/>
    <x v="136"/>
    <x v="0"/>
    <d v="2017-10-27T00:00:00"/>
    <d v="2018-10-26T00:00:00"/>
    <s v="Marine"/>
    <n v="3"/>
    <s v="Animesh Rawat"/>
    <s v="Ahmedabad"/>
    <x v="6"/>
    <x v="0"/>
    <n v="62714.03"/>
    <d v="2017-10-27T00:00:00"/>
    <s v="Brokerage"/>
    <s v="Inception"/>
    <m/>
    <d v="2020-01-22T00:00:00"/>
  </r>
  <r>
    <s v="EE"/>
    <x v="137"/>
    <x v="1"/>
    <d v="2018-10-27T00:00:00"/>
    <d v="2019-10-26T00:00:00"/>
    <s v="Marine"/>
    <n v="3"/>
    <s v="Animesh Rawat"/>
    <s v="Ahmedabad"/>
    <x v="6"/>
    <x v="0"/>
    <n v="85800"/>
    <d v="2018-10-27T00:00:00"/>
    <s v="Brokerage"/>
    <s v="Endorsement"/>
    <m/>
    <d v="2020-01-22T00:00:00"/>
  </r>
  <r>
    <s v="EE"/>
    <x v="137"/>
    <x v="1"/>
    <d v="2018-10-27T00:00:00"/>
    <d v="2019-10-26T00:00:00"/>
    <s v="Marine"/>
    <n v="3"/>
    <s v="Animesh Rawat"/>
    <s v="Ahmedabad"/>
    <x v="6"/>
    <x v="0"/>
    <n v="21450"/>
    <d v="2018-10-27T00:00:00"/>
    <s v="Brokerage"/>
    <s v="Endorsement"/>
    <m/>
    <d v="2020-01-22T00:00:00"/>
  </r>
  <r>
    <s v="EE"/>
    <x v="137"/>
    <x v="1"/>
    <d v="2018-10-27T00:00:00"/>
    <d v="2019-10-26T00:00:00"/>
    <s v="Marine"/>
    <n v="3"/>
    <s v="Animesh Rawat"/>
    <s v="Ahmedabad"/>
    <x v="6"/>
    <x v="0"/>
    <n v="71765.36"/>
    <d v="2019-10-26T00:00:00"/>
    <s v="Brokerage "/>
    <s v="Endorsement"/>
    <m/>
    <d v="2020-01-22T00:00:00"/>
  </r>
  <r>
    <s v="EE"/>
    <x v="137"/>
    <x v="1"/>
    <d v="2018-10-27T00:00:00"/>
    <d v="2019-10-26T00:00:00"/>
    <s v="Marine"/>
    <n v="3"/>
    <s v="Animesh Rawat"/>
    <s v="Ahmedabad"/>
    <x v="6"/>
    <x v="0"/>
    <n v="17941.34"/>
    <d v="2019-10-26T00:00:00"/>
    <s v="Brokerage "/>
    <s v="Endorsement"/>
    <m/>
    <d v="2020-01-22T00:00:00"/>
  </r>
  <r>
    <s v="EE"/>
    <x v="138"/>
    <x v="0"/>
    <d v="2019-02-22T00:00:00"/>
    <d v="2020-02-21T00:00:00"/>
    <s v="Employee Benefits"/>
    <n v="6"/>
    <s v="Ketan Jain"/>
    <s v="Ahmedabad"/>
    <x v="3"/>
    <x v="1"/>
    <n v="44999.85"/>
    <d v="2020-02-21T00:00:00"/>
    <s v="Brokerage"/>
    <s v="Inception"/>
    <m/>
    <d v="2020-01-22T00:00:00"/>
  </r>
  <r>
    <s v="EE"/>
    <x v="139"/>
    <x v="0"/>
    <d v="2019-09-30T00:00:00"/>
    <d v="2025-09-29T00:00:00"/>
    <s v="Liability"/>
    <n v="13"/>
    <s v="Vididt Saha"/>
    <s v="Ahmedabad"/>
    <x v="2"/>
    <x v="2"/>
    <n v="47500"/>
    <d v="2019-09-30T00:00:00"/>
    <s v="Brokerage"/>
    <s v="Inception"/>
    <m/>
    <d v="2020-01-22T00:00:00"/>
  </r>
  <r>
    <s v="EE"/>
    <x v="140"/>
    <x v="1"/>
    <d v="2019-02-06T00:00:00"/>
    <d v="2019-08-06T00:00:00"/>
    <s v="Miscellaneous"/>
    <n v="13"/>
    <s v="Vididt Saha"/>
    <s v="Ahmedabad"/>
    <x v="2"/>
    <x v="2"/>
    <n v="6183.87"/>
    <d v="2019-02-06T00:00:00"/>
    <s v="Brokerage"/>
    <s v="Inception"/>
    <m/>
    <d v="2020-01-22T00:00:00"/>
  </r>
  <r>
    <s v="EE"/>
    <x v="141"/>
    <x v="0"/>
    <d v="2019-08-07T00:00:00"/>
    <d v="2020-02-06T00:00:00"/>
    <s v="Miscellaneous"/>
    <n v="13"/>
    <s v="Vididt Saha"/>
    <s v="Ahmedabad"/>
    <x v="2"/>
    <x v="2"/>
    <n v="6183.87"/>
    <d v="2019-08-07T00:00:00"/>
    <s v="Brokerage"/>
    <s v="Renewal"/>
    <m/>
    <d v="2020-01-22T00:00:00"/>
  </r>
  <r>
    <s v="EE"/>
    <x v="142"/>
    <x v="0"/>
    <d v="2019-11-08T00:00:00"/>
    <d v="2020-11-07T00:00:00"/>
    <s v="Liability"/>
    <n v="2"/>
    <s v="Abhinav Shivam"/>
    <s v="Ahmedabad"/>
    <x v="2"/>
    <x v="1"/>
    <n v="13200"/>
    <d v="2019-11-08T00:00:00"/>
    <s v="Brokerage"/>
    <s v="Inception"/>
    <m/>
    <d v="2020-01-22T00:00:00"/>
  </r>
  <r>
    <s v="EE"/>
    <x v="143"/>
    <x v="0"/>
    <d v="2019-02-22T00:00:00"/>
    <d v="2020-02-21T00:00:00"/>
    <s v="Fire"/>
    <n v="2"/>
    <s v="Abhinav Shivam"/>
    <s v="Ahmedabad"/>
    <x v="5"/>
    <x v="1"/>
    <n v="16258"/>
    <d v="2019-02-22T00:00:00"/>
    <s v="Brokerage"/>
    <s v="Inception"/>
    <m/>
    <d v="2020-01-22T00:00:00"/>
  </r>
  <r>
    <s v="EE"/>
    <x v="143"/>
    <x v="0"/>
    <d v="2019-02-28T00:00:00"/>
    <d v="2020-02-27T00:00:00"/>
    <s v="Fire"/>
    <n v="2"/>
    <s v="Abhinav Shivam"/>
    <s v="Ahmedabad"/>
    <x v="5"/>
    <x v="1"/>
    <n v="8227.7900000000009"/>
    <d v="2019-02-28T00:00:00"/>
    <s v="Brokerage"/>
    <s v="Endorsement"/>
    <m/>
    <d v="2020-01-22T00:00:00"/>
  </r>
  <r>
    <s v="EE"/>
    <x v="143"/>
    <x v="0"/>
    <d v="2019-02-28T00:00:00"/>
    <d v="2020-02-27T00:00:00"/>
    <s v="Fire"/>
    <n v="2"/>
    <s v="Abhinav Shivam"/>
    <s v="Ahmedabad"/>
    <x v="5"/>
    <x v="1"/>
    <n v="2925.72"/>
    <d v="2019-06-12T00:00:00"/>
    <s v="Brokerage "/>
    <s v="Endorsement"/>
    <m/>
    <d v="2020-01-22T00:00:00"/>
  </r>
  <r>
    <s v="EE"/>
    <x v="143"/>
    <x v="0"/>
    <d v="2019-02-28T00:00:00"/>
    <d v="2020-02-27T00:00:00"/>
    <s v="Fire"/>
    <n v="2"/>
    <s v="Abhinav Shivam"/>
    <s v="Ahmedabad"/>
    <x v="5"/>
    <x v="1"/>
    <n v="2925.72"/>
    <d v="2019-06-12T00:00:00"/>
    <s v="Brokerage "/>
    <s v="Endorsement"/>
    <m/>
    <d v="2020-01-22T00:00:00"/>
  </r>
  <r>
    <s v="EE"/>
    <x v="143"/>
    <x v="0"/>
    <d v="2019-02-28T00:00:00"/>
    <d v="2020-02-27T00:00:00"/>
    <s v="Fire"/>
    <n v="2"/>
    <s v="Abhinav Shivam"/>
    <s v="Ahmedabad"/>
    <x v="5"/>
    <x v="1"/>
    <n v="5240.78"/>
    <d v="2019-07-12T00:00:00"/>
    <s v="Brokerage "/>
    <s v="Endorsement"/>
    <m/>
    <d v="2020-01-22T00:00:00"/>
  </r>
  <r>
    <s v="EE"/>
    <x v="144"/>
    <x v="0"/>
    <d v="2019-11-08T00:00:00"/>
    <d v="2020-11-07T00:00:00"/>
    <s v="Fire"/>
    <n v="2"/>
    <s v="Abhinav Shivam"/>
    <s v="Ahmedabad"/>
    <x v="5"/>
    <x v="1"/>
    <n v="17232.75"/>
    <d v="2019-11-08T00:00:00"/>
    <s v="Brokerage"/>
    <s v="Inception"/>
    <m/>
    <d v="2020-01-22T00:00:00"/>
  </r>
  <r>
    <s v="EE"/>
    <x v="145"/>
    <x v="0"/>
    <d v="2019-11-08T00:00:00"/>
    <d v="2020-11-07T00:00:00"/>
    <s v="Liability"/>
    <n v="2"/>
    <s v="Abhinav Shivam"/>
    <s v="Ahmedabad"/>
    <x v="2"/>
    <x v="1"/>
    <n v="6250"/>
    <d v="2019-11-08T00:00:00"/>
    <s v="Brokerage"/>
    <s v="Inception"/>
    <m/>
    <d v="2020-01-22T00:00:00"/>
  </r>
  <r>
    <s v="EE"/>
    <x v="146"/>
    <x v="0"/>
    <d v="2019-09-08T00:00:00"/>
    <d v="2020-09-07T00:00:00"/>
    <s v="Fire"/>
    <n v="2"/>
    <s v="Abhinav Shivam"/>
    <s v="Ahmedabad"/>
    <x v="5"/>
    <x v="1"/>
    <n v="72138.929999999993"/>
    <d v="2019-09-08T00:00:00"/>
    <s v="Brokerage"/>
    <s v="Inception"/>
    <m/>
    <d v="2020-01-22T00:00:00"/>
  </r>
  <r>
    <s v="EE"/>
    <x v="146"/>
    <x v="0"/>
    <d v="2019-09-08T00:00:00"/>
    <d v="2020-09-07T00:00:00"/>
    <s v="Fire"/>
    <n v="2"/>
    <s v="Abhinav Shivam"/>
    <s v="Ahmedabad"/>
    <x v="5"/>
    <x v="1"/>
    <n v="43032.54"/>
    <d v="2019-09-08T00:00:00"/>
    <s v="Brokerage"/>
    <s v="Inception"/>
    <m/>
    <d v="2020-01-22T00:00:00"/>
  </r>
  <r>
    <s v="EE"/>
    <x v="147"/>
    <x v="0"/>
    <d v="2019-09-08T00:00:00"/>
    <d v="2020-09-07T00:00:00"/>
    <s v="Miscellaneous"/>
    <n v="2"/>
    <s v="Abhinav Shivam"/>
    <s v="Ahmedabad"/>
    <x v="4"/>
    <x v="1"/>
    <n v="11550"/>
    <d v="2019-09-08T00:00:00"/>
    <s v="Brokerage"/>
    <s v="Inception"/>
    <m/>
    <d v="2020-01-22T00:00:00"/>
  </r>
  <r>
    <s v="EE"/>
    <x v="147"/>
    <x v="0"/>
    <d v="2019-09-08T00:00:00"/>
    <d v="2020-09-07T00:00:00"/>
    <s v="Miscellaneous"/>
    <n v="2"/>
    <s v="Abhinav Shivam"/>
    <s v="Ahmedabad"/>
    <x v="4"/>
    <x v="1"/>
    <n v="7700"/>
    <d v="2019-09-08T00:00:00"/>
    <s v="Brokerage"/>
    <s v="Inception"/>
    <m/>
    <d v="2020-01-22T00:00:00"/>
  </r>
  <r>
    <s v="EE"/>
    <x v="148"/>
    <x v="0"/>
    <d v="2019-09-08T00:00:00"/>
    <d v="2020-09-07T00:00:00"/>
    <s v="Miscellaneous"/>
    <n v="2"/>
    <s v="Abhinav Shivam"/>
    <s v="Ahmedabad"/>
    <x v="5"/>
    <x v="1"/>
    <n v="14461.25"/>
    <d v="2019-09-08T00:00:00"/>
    <s v="Brokerage"/>
    <s v="Endorsement"/>
    <m/>
    <d v="2020-01-22T00:00:00"/>
  </r>
  <r>
    <s v="EE"/>
    <x v="148"/>
    <x v="0"/>
    <d v="2019-09-08T00:00:00"/>
    <d v="2020-09-07T00:00:00"/>
    <s v="Miscellaneous"/>
    <n v="2"/>
    <s v="Abhinav Shivam"/>
    <s v="Ahmedabad"/>
    <x v="5"/>
    <x v="1"/>
    <n v="13153.63"/>
    <d v="2019-10-10T00:00:00"/>
    <s v="Brokerage "/>
    <s v="Endorsement"/>
    <m/>
    <d v="2020-01-22T00:00:00"/>
  </r>
  <r>
    <s v="EE"/>
    <x v="149"/>
    <x v="1"/>
    <d v="2018-04-04T00:00:00"/>
    <d v="2024-07-05T00:00:00"/>
    <s v="Engineering"/>
    <n v="13"/>
    <s v="Vididt Saha"/>
    <s v="Ahmedabad"/>
    <x v="1"/>
    <x v="1"/>
    <n v="0"/>
    <d v="2018-04-04T00:00:00"/>
    <s v="Brokerage"/>
    <s v="Lapse"/>
    <s v="OTHR â€“ Other"/>
    <d v="2020-01-22T00:00:00"/>
  </r>
  <r>
    <s v="EE"/>
    <x v="149"/>
    <x v="1"/>
    <d v="2018-06-22T00:00:00"/>
    <d v="2019-09-21T00:00:00"/>
    <s v="Engineering"/>
    <n v="13"/>
    <s v="Vididt Saha"/>
    <s v="Ahmedabad"/>
    <x v="1"/>
    <x v="2"/>
    <n v="15625"/>
    <d v="2018-06-22T00:00:00"/>
    <s v="Brokerage"/>
    <s v="Lapse"/>
    <s v="MERC â€“ Merged with new combined policy"/>
    <d v="2020-01-22T00:00:00"/>
  </r>
  <r>
    <s v="EE"/>
    <x v="150"/>
    <x v="0"/>
    <d v="2019-04-25T00:00:00"/>
    <d v="2021-04-24T00:00:00"/>
    <s v="Engineering"/>
    <n v="13"/>
    <s v="Vididt Saha"/>
    <s v="Ahmedabad"/>
    <x v="1"/>
    <x v="2"/>
    <n v="134736.13"/>
    <d v="2019-04-25T00:00:00"/>
    <s v="Brokerage"/>
    <s v="Inception"/>
    <m/>
    <d v="2020-01-22T00:00:00"/>
  </r>
  <r>
    <s v="EE"/>
    <x v="150"/>
    <x v="0"/>
    <d v="2019-09-11T00:00:00"/>
    <d v="2020-09-10T00:00:00"/>
    <s v="Engineering"/>
    <n v="13"/>
    <s v="Vididt Saha"/>
    <s v="Ahmedabad"/>
    <x v="1"/>
    <x v="2"/>
    <n v="32584.880000000001"/>
    <d v="2019-09-11T00:00:00"/>
    <s v="Brokerage"/>
    <s v="Inception"/>
    <m/>
    <d v="2020-01-22T00:00:00"/>
  </r>
  <r>
    <s v="EE"/>
    <x v="150"/>
    <x v="0"/>
    <d v="2019-09-22T00:00:00"/>
    <d v="2020-03-21T00:00:00"/>
    <s v="Engineering"/>
    <n v="13"/>
    <s v="Vididt Saha"/>
    <s v="Ahmedabad"/>
    <x v="1"/>
    <x v="2"/>
    <n v="8044.5"/>
    <d v="2019-09-22T00:00:00"/>
    <s v="Brokerage"/>
    <s v="Inception"/>
    <m/>
    <d v="2020-01-22T00:00:00"/>
  </r>
  <r>
    <s v="EE"/>
    <x v="151"/>
    <x v="1"/>
    <d v="2019-02-27T00:00:00"/>
    <d v="2020-02-26T00:00:00"/>
    <s v="Fire"/>
    <n v="1"/>
    <s v="Vinay"/>
    <s v="Ahmedabad"/>
    <x v="4"/>
    <x v="0"/>
    <n v="2141.5500000000002"/>
    <d v="2019-02-27T00:00:00"/>
    <s v="Brokerage"/>
    <s v="Lapse"/>
    <s v="OTHR â€“ Other"/>
    <d v="2020-01-22T00:00:00"/>
  </r>
  <r>
    <s v="EE"/>
    <x v="152"/>
    <x v="0"/>
    <d v="2018-02-27T00:00:00"/>
    <d v="2019-02-26T00:00:00"/>
    <s v="Fire"/>
    <n v="1"/>
    <s v="Vinay"/>
    <s v="Ahmedabad"/>
    <x v="4"/>
    <x v="0"/>
    <n v="2486.0700000000002"/>
    <d v="2018-02-27T00:00:00"/>
    <s v="Brokerage"/>
    <s v="Inception"/>
    <m/>
    <d v="2020-01-22T00:00:00"/>
  </r>
  <r>
    <s v="EE"/>
    <x v="153"/>
    <x v="1"/>
    <d v="2018-02-27T00:00:00"/>
    <d v="2019-02-26T00:00:00"/>
    <s v="Fire"/>
    <n v="1"/>
    <s v="Vinay"/>
    <s v="Ahmedabad"/>
    <x v="4"/>
    <x v="0"/>
    <n v="6653.1"/>
    <d v="2018-02-27T00:00:00"/>
    <s v="Brokerage"/>
    <s v="Inception"/>
    <m/>
    <d v="2020-01-22T00:00:00"/>
  </r>
  <r>
    <s v="EE"/>
    <x v="154"/>
    <x v="0"/>
    <d v="2019-02-27T00:00:00"/>
    <d v="2020-02-26T00:00:00"/>
    <s v="Fire"/>
    <n v="1"/>
    <s v="Vinay"/>
    <s v="Ahmedabad"/>
    <x v="4"/>
    <x v="0"/>
    <n v="6979.74"/>
    <d v="2019-02-27T00:00:00"/>
    <s v="Brokerage"/>
    <s v="Renewal"/>
    <m/>
    <d v="2020-01-22T00:00:00"/>
  </r>
  <r>
    <s v="EE"/>
    <x v="155"/>
    <x v="0"/>
    <d v="2018-02-27T00:00:00"/>
    <d v="2019-02-26T00:00:00"/>
    <s v="Fire"/>
    <n v="1"/>
    <s v="Vinay"/>
    <s v="Ahmedabad"/>
    <x v="4"/>
    <x v="2"/>
    <n v="2283.33"/>
    <d v="2018-02-27T00:00:00"/>
    <s v="Brokerage"/>
    <s v="Inception"/>
    <m/>
    <d v="2020-01-22T00:00:00"/>
  </r>
  <r>
    <s v="ABC"/>
    <x v="156"/>
    <x v="0"/>
    <d v="2019-03-30T00:00:00"/>
    <d v="2020-03-29T00:00:00"/>
    <s v="Liability"/>
    <n v="6"/>
    <s v="Ketan Jain"/>
    <s v="Ahmedabad"/>
    <x v="2"/>
    <x v="1"/>
    <n v="14107.5"/>
    <d v="2019-03-30T00:00:00"/>
    <s v="Brokerage"/>
    <s v="Inception"/>
    <m/>
    <d v="2020-01-22T00:00:00"/>
  </r>
  <r>
    <s v="ABC"/>
    <x v="157"/>
    <x v="0"/>
    <d v="2017-12-31T00:00:00"/>
    <d v="2018-12-30T00:00:00"/>
    <s v="Miscellaneous"/>
    <n v="1"/>
    <s v="Vinay"/>
    <s v="Ahmedabad"/>
    <x v="4"/>
    <x v="0"/>
    <n v="2535.87"/>
    <d v="2017-12-31T00:00:00"/>
    <s v="Brokerage"/>
    <s v="Inception"/>
    <m/>
    <d v="2020-01-22T00:00:00"/>
  </r>
  <r>
    <s v="ABC"/>
    <x v="158"/>
    <x v="1"/>
    <d v="2018-01-31T00:00:00"/>
    <d v="2019-01-30T00:00:00"/>
    <s v="Liability"/>
    <n v="1"/>
    <s v="Vinay"/>
    <s v="Ahmedabad"/>
    <x v="2"/>
    <x v="0"/>
    <n v="125000"/>
    <d v="2018-01-31T00:00:00"/>
    <s v="Brokerage"/>
    <s v="Inception"/>
    <m/>
    <d v="2020-01-22T00:00:00"/>
  </r>
  <r>
    <s v="ABC"/>
    <x v="159"/>
    <x v="0"/>
    <d v="2019-01-31T00:00:00"/>
    <d v="2020-01-30T00:00:00"/>
    <s v="Liability"/>
    <n v="1"/>
    <s v="Vinay"/>
    <s v="Ahmedabad"/>
    <x v="2"/>
    <x v="0"/>
    <n v="125000"/>
    <d v="2019-01-31T00:00:00"/>
    <s v="Brokerage"/>
    <s v="Renewal"/>
    <m/>
    <d v="2020-01-22T00:00:00"/>
  </r>
  <r>
    <s v="ABC"/>
    <x v="160"/>
    <x v="1"/>
    <d v="2018-01-31T00:00:00"/>
    <d v="2019-01-30T00:00:00"/>
    <s v="Liability"/>
    <n v="1"/>
    <s v="Vinay"/>
    <s v="Ahmedabad"/>
    <x v="2"/>
    <x v="0"/>
    <n v="80000"/>
    <d v="2018-01-31T00:00:00"/>
    <s v="Brokerage"/>
    <s v="Inception"/>
    <m/>
    <d v="2020-01-22T00:00:00"/>
  </r>
  <r>
    <s v="ABC"/>
    <x v="160"/>
    <x v="1"/>
    <d v="2018-01-31T00:00:00"/>
    <d v="2019-01-30T00:00:00"/>
    <s v="Liability"/>
    <n v="1"/>
    <s v="Vinay"/>
    <s v="Ahmedabad"/>
    <x v="2"/>
    <x v="0"/>
    <n v="320000"/>
    <d v="2018-01-31T00:00:00"/>
    <s v="Brokerage"/>
    <s v="Inception"/>
    <m/>
    <d v="2020-01-22T00:00:00"/>
  </r>
  <r>
    <s v="ABC"/>
    <x v="161"/>
    <x v="0"/>
    <d v="2019-01-31T00:00:00"/>
    <d v="2020-01-30T00:00:00"/>
    <s v="Liability"/>
    <n v="1"/>
    <s v="Vinay"/>
    <s v="Ahmedabad"/>
    <x v="2"/>
    <x v="0"/>
    <n v="320000"/>
    <d v="2019-01-31T00:00:00"/>
    <s v="Brokerage"/>
    <s v="Renewal"/>
    <m/>
    <d v="2020-01-22T00:00:00"/>
  </r>
  <r>
    <s v="ABC"/>
    <x v="162"/>
    <x v="1"/>
    <d v="2017-12-31T00:00:00"/>
    <d v="2018-12-30T00:00:00"/>
    <s v="Miscellaneous"/>
    <n v="1"/>
    <s v="Vinay"/>
    <s v="Ahmedabad"/>
    <x v="4"/>
    <x v="0"/>
    <n v="211206.7"/>
    <d v="2017-12-31T00:00:00"/>
    <s v="Brokerage"/>
    <s v="Lapse"/>
    <s v="OTHR â€“ Other"/>
    <d v="2020-01-22T00:00:00"/>
  </r>
  <r>
    <s v="ABC"/>
    <x v="163"/>
    <x v="1"/>
    <d v="2018-03-01T00:00:00"/>
    <d v="2019-02-28T00:00:00"/>
    <s v="Fire"/>
    <n v="1"/>
    <s v="Vinay"/>
    <s v="Ahmedabad"/>
    <x v="4"/>
    <x v="0"/>
    <n v="275569.44"/>
    <d v="2019-03-01T00:00:00"/>
    <s v="Brokerage"/>
    <s v="Inception"/>
    <m/>
    <d v="2020-01-22T00:00:00"/>
  </r>
  <r>
    <s v="ABC"/>
    <x v="164"/>
    <x v="0"/>
    <d v="2019-03-01T00:00:00"/>
    <d v="2020-02-29T00:00:00"/>
    <s v="Fire"/>
    <n v="1"/>
    <s v="Vinay"/>
    <s v="Ahmedabad"/>
    <x v="4"/>
    <x v="0"/>
    <n v="275569.44"/>
    <d v="2019-03-01T00:00:00"/>
    <s v="Brokerage"/>
    <s v="Renewal"/>
    <m/>
    <d v="2020-01-22T00:00:00"/>
  </r>
  <r>
    <s v="ABC"/>
    <x v="165"/>
    <x v="0"/>
    <d v="2019-03-01T00:00:00"/>
    <d v="2020-02-29T00:00:00"/>
    <s v="Marine"/>
    <n v="1"/>
    <s v="Vinay"/>
    <s v="Ahmedabad"/>
    <x v="0"/>
    <x v="0"/>
    <n v="50332.73"/>
    <d v="2019-03-01T00:00:00"/>
    <s v="Brokerage"/>
    <s v="Renewal"/>
    <m/>
    <d v="2020-01-22T00:00:00"/>
  </r>
  <r>
    <s v="ABC"/>
    <x v="166"/>
    <x v="1"/>
    <d v="2018-03-01T00:00:00"/>
    <d v="2019-02-28T00:00:00"/>
    <s v="Marine"/>
    <n v="1"/>
    <s v="Vinay"/>
    <s v="Ahmedabad"/>
    <x v="0"/>
    <x v="0"/>
    <n v="57539.3"/>
    <d v="2018-03-01T00:00:00"/>
    <s v="Brokerage"/>
    <s v="Inception"/>
    <m/>
    <d v="2020-01-22T00:00:00"/>
  </r>
  <r>
    <s v="ABC"/>
    <x v="167"/>
    <x v="0"/>
    <d v="2018-12-14T00:00:00"/>
    <d v="2019-12-13T00:00:00"/>
    <s v="Fire"/>
    <n v="1"/>
    <s v="Vinay"/>
    <s v="Ahmedabad"/>
    <x v="4"/>
    <x v="0"/>
    <n v="212357.74"/>
    <d v="2018-12-14T00:00:00"/>
    <s v="Brokerage"/>
    <s v="Inception"/>
    <m/>
    <d v="2020-01-22T00:00:00"/>
  </r>
  <r>
    <s v="ABC"/>
    <x v="168"/>
    <x v="1"/>
    <d v="2018-03-01T00:00:00"/>
    <d v="2019-02-28T00:00:00"/>
    <s v="Liability"/>
    <n v="1"/>
    <s v="Vinay"/>
    <s v="Ahmedabad"/>
    <x v="2"/>
    <x v="2"/>
    <n v="31250"/>
    <d v="2018-03-01T00:00:00"/>
    <s v="Brokerage"/>
    <s v="Inception"/>
    <m/>
    <d v="2020-01-22T00:00:00"/>
  </r>
  <r>
    <s v="ABC"/>
    <x v="169"/>
    <x v="1"/>
    <d v="2018-03-01T00:00:00"/>
    <d v="2019-02-28T00:00:00"/>
    <s v="Liability"/>
    <n v="1"/>
    <s v="Vinay"/>
    <s v="Ahmedabad"/>
    <x v="2"/>
    <x v="0"/>
    <n v="43750"/>
    <d v="2018-03-01T00:00:00"/>
    <s v="Brokerage"/>
    <s v="Inception"/>
    <m/>
    <d v="2020-01-22T00:00:00"/>
  </r>
  <r>
    <s v="ABC"/>
    <x v="170"/>
    <x v="1"/>
    <d v="2018-03-01T00:00:00"/>
    <d v="2019-02-28T00:00:00"/>
    <s v="Liability"/>
    <n v="1"/>
    <s v="Vinay"/>
    <s v="Ahmedabad"/>
    <x v="2"/>
    <x v="2"/>
    <n v="75000"/>
    <d v="2018-03-01T00:00:00"/>
    <s v="Brokerage"/>
    <s v="Inception"/>
    <m/>
    <d v="2020-01-22T00:00:00"/>
  </r>
  <r>
    <s v="ABC"/>
    <x v="171"/>
    <x v="0"/>
    <d v="2019-03-01T00:00:00"/>
    <d v="2020-02-29T00:00:00"/>
    <s v="Liability"/>
    <n v="1"/>
    <s v="Vinay"/>
    <s v="Ahmedabad"/>
    <x v="2"/>
    <x v="2"/>
    <n v="31250"/>
    <d v="2019-03-01T00:00:00"/>
    <s v="Brokerage"/>
    <s v="Renewal"/>
    <m/>
    <d v="2020-01-22T00:00:00"/>
  </r>
  <r>
    <s v="ABC"/>
    <x v="172"/>
    <x v="0"/>
    <d v="2019-03-01T00:00:00"/>
    <d v="2020-02-29T00:00:00"/>
    <s v="Liability"/>
    <n v="1"/>
    <s v="Vinay"/>
    <s v="Ahmedabad"/>
    <x v="2"/>
    <x v="0"/>
    <n v="43750"/>
    <d v="2019-03-01T00:00:00"/>
    <s v="Brokerage"/>
    <s v="Renewal"/>
    <m/>
    <d v="2020-01-22T00:00:00"/>
  </r>
  <r>
    <s v="ABC"/>
    <x v="173"/>
    <x v="0"/>
    <d v="2019-03-01T00:00:00"/>
    <d v="2020-02-29T00:00:00"/>
    <s v="Liability"/>
    <n v="1"/>
    <s v="Vinay"/>
    <s v="Ahmedabad"/>
    <x v="2"/>
    <x v="2"/>
    <n v="75000"/>
    <d v="2019-03-01T00:00:00"/>
    <s v="Brokerage"/>
    <s v="Renewal"/>
    <m/>
    <d v="2020-01-22T00:00:00"/>
  </r>
  <r>
    <s v="ABC"/>
    <x v="174"/>
    <x v="1"/>
    <d v="2018-02-11T00:00:00"/>
    <d v="2019-02-10T00:00:00"/>
    <s v="Liability"/>
    <n v="1"/>
    <s v="Vinay"/>
    <s v="Ahmedabad"/>
    <x v="2"/>
    <x v="2"/>
    <n v="23125"/>
    <d v="2018-02-11T00:00:00"/>
    <s v="Brokerage"/>
    <s v="Inception"/>
    <m/>
    <d v="2020-01-22T00:00:00"/>
  </r>
  <r>
    <s v="ABC"/>
    <x v="175"/>
    <x v="0"/>
    <d v="2019-02-11T00:00:00"/>
    <d v="2020-02-10T00:00:00"/>
    <s v="Liability"/>
    <n v="1"/>
    <s v="Vinay"/>
    <s v="Ahmedabad"/>
    <x v="2"/>
    <x v="2"/>
    <n v="21875"/>
    <d v="2019-02-11T00:00:00"/>
    <s v="Brokerage"/>
    <s v="Renewal"/>
    <m/>
    <d v="2020-01-22T00:00:00"/>
  </r>
  <r>
    <s v="ABC"/>
    <x v="176"/>
    <x v="0"/>
    <d v="2018-08-20T00:00:00"/>
    <d v="2024-08-19T00:00:00"/>
    <s v="Liability"/>
    <n v="1"/>
    <s v="Vinay"/>
    <s v="Ahmedabad"/>
    <x v="2"/>
    <x v="2"/>
    <n v="47500"/>
    <d v="2018-08-20T00:00:00"/>
    <s v="Brokerage"/>
    <s v="Inception"/>
    <m/>
    <d v="2020-01-22T00:00:00"/>
  </r>
  <r>
    <s v="ABC"/>
    <x v="177"/>
    <x v="0"/>
    <d v="2017-12-31T00:00:00"/>
    <d v="2018-12-30T00:00:00"/>
    <s v="Miscellaneous"/>
    <n v="1"/>
    <s v="Vinay"/>
    <s v="Ahmedabad"/>
    <x v="4"/>
    <x v="0"/>
    <n v="7632.55"/>
    <d v="2017-12-31T00:00:00"/>
    <s v="Brokerage"/>
    <s v="Inception"/>
    <m/>
    <d v="2020-01-22T00:00:00"/>
  </r>
  <r>
    <s v="ABC"/>
    <x v="178"/>
    <x v="0"/>
    <d v="2018-12-14T00:00:00"/>
    <d v="2019-12-13T00:00:00"/>
    <s v="Miscellaneous"/>
    <n v="1"/>
    <s v="Vinay"/>
    <s v="Ahmedabad"/>
    <x v="4"/>
    <x v="0"/>
    <n v="2563.13"/>
    <d v="2018-12-14T00:00:00"/>
    <s v="Brokerage"/>
    <s v="Inception"/>
    <m/>
    <d v="2020-01-22T00:00:00"/>
  </r>
  <r>
    <s v="ABC"/>
    <x v="179"/>
    <x v="1"/>
    <d v="2018-06-23T00:00:00"/>
    <d v="2019-06-22T00:00:00"/>
    <s v="Miscellaneous"/>
    <n v="12"/>
    <s v="Shivani Sharma"/>
    <s v="Ahmedabad"/>
    <x v="6"/>
    <x v="0"/>
    <n v="8269.74"/>
    <d v="2018-06-23T00:00:00"/>
    <s v="Brokerage"/>
    <s v="Endorsement"/>
    <m/>
    <d v="2020-01-22T00:00:00"/>
  </r>
  <r>
    <s v="ABC"/>
    <x v="179"/>
    <x v="1"/>
    <d v="2018-06-23T00:00:00"/>
    <d v="2019-06-22T00:00:00"/>
    <s v="Miscellaneous"/>
    <n v="12"/>
    <s v="Shivani Sharma"/>
    <s v="Ahmedabad"/>
    <x v="6"/>
    <x v="0"/>
    <n v="8269.74"/>
    <d v="2018-06-23T00:00:00"/>
    <s v="Brokerage"/>
    <s v="Endorsement"/>
    <m/>
    <d v="2020-01-22T00:00:00"/>
  </r>
  <r>
    <s v="ABC"/>
    <x v="179"/>
    <x v="1"/>
    <d v="2018-06-23T00:00:00"/>
    <d v="2019-06-22T00:00:00"/>
    <s v="Miscellaneous"/>
    <n v="12"/>
    <s v="Shivani Sharma"/>
    <s v="Ahmedabad"/>
    <x v="6"/>
    <x v="0"/>
    <n v="5891"/>
    <d v="2019-02-04T00:00:00"/>
    <s v="Brokerage "/>
    <s v="Endorsement"/>
    <m/>
    <d v="2020-01-22T00:00:00"/>
  </r>
  <r>
    <s v="ABC"/>
    <x v="179"/>
    <x v="1"/>
    <d v="2018-06-23T00:00:00"/>
    <d v="2019-06-22T00:00:00"/>
    <s v="Miscellaneous"/>
    <n v="12"/>
    <s v="Shivani Sharma"/>
    <s v="Ahmedabad"/>
    <x v="6"/>
    <x v="0"/>
    <n v="5891"/>
    <d v="2019-02-04T00:00:00"/>
    <s v="Brokerage "/>
    <s v="Endorsement"/>
    <m/>
    <d v="2020-01-22T00:00:00"/>
  </r>
  <r>
    <s v="ABC"/>
    <x v="180"/>
    <x v="1"/>
    <d v="2018-06-23T00:00:00"/>
    <d v="2019-06-22T00:00:00"/>
    <s v="Liability"/>
    <n v="12"/>
    <s v="Shivani Sharma"/>
    <s v="Ahmedabad"/>
    <x v="6"/>
    <x v="0"/>
    <n v="2720.25"/>
    <d v="2018-06-23T00:00:00"/>
    <s v="Brokerage"/>
    <s v="Inception"/>
    <m/>
    <d v="2020-01-22T00:00:00"/>
  </r>
  <r>
    <s v="ABC"/>
    <x v="181"/>
    <x v="1"/>
    <d v="2018-06-23T00:00:00"/>
    <d v="2019-06-22T00:00:00"/>
    <s v="Liability"/>
    <n v="12"/>
    <s v="Shivani Sharma"/>
    <s v="Ahmedabad"/>
    <x v="6"/>
    <x v="0"/>
    <n v="375"/>
    <d v="2018-06-23T00:00:00"/>
    <s v="Brokerage"/>
    <s v="Inception"/>
    <m/>
    <d v="2020-01-22T00:00:00"/>
  </r>
  <r>
    <s v="ABC"/>
    <x v="182"/>
    <x v="0"/>
    <d v="2019-06-23T00:00:00"/>
    <d v="2020-06-22T00:00:00"/>
    <s v="Miscellaneous"/>
    <n v="3"/>
    <s v="Animesh Rawat"/>
    <s v="Ahmedabad"/>
    <x v="6"/>
    <x v="0"/>
    <n v="15047.5"/>
    <d v="2019-06-23T00:00:00"/>
    <s v="Brokerage"/>
    <s v="Renewal"/>
    <m/>
    <d v="2020-01-22T00:00:00"/>
  </r>
  <r>
    <s v="ABC"/>
    <x v="183"/>
    <x v="0"/>
    <d v="2019-06-23T00:00:00"/>
    <d v="2020-06-22T00:00:00"/>
    <s v="Liability"/>
    <n v="3"/>
    <s v="Animesh Rawat"/>
    <s v="Ahmedabad"/>
    <x v="6"/>
    <x v="0"/>
    <n v="2852.5"/>
    <d v="2019-06-23T00:00:00"/>
    <s v="Brokerage"/>
    <s v="Renewal"/>
    <m/>
    <d v="2020-01-22T00:00:00"/>
  </r>
  <r>
    <s v="ABC"/>
    <x v="184"/>
    <x v="0"/>
    <d v="2019-06-23T00:00:00"/>
    <d v="2020-06-22T00:00:00"/>
    <s v="Liability"/>
    <n v="3"/>
    <s v="Animesh Rawat"/>
    <s v="Ahmedabad"/>
    <x v="6"/>
    <x v="0"/>
    <n v="495"/>
    <d v="2019-06-23T00:00:00"/>
    <s v="Brokerage"/>
    <s v="Renewal"/>
    <m/>
    <d v="2020-01-22T00:00:00"/>
  </r>
  <r>
    <s v="ABC"/>
    <x v="185"/>
    <x v="0"/>
    <d v="2019-04-25T00:00:00"/>
    <d v="2020-04-24T00:00:00"/>
    <s v="Employee Benefits"/>
    <n v="10"/>
    <s v="Mark"/>
    <s v="Ahmedabad"/>
    <x v="3"/>
    <x v="0"/>
    <n v="9294.35"/>
    <d v="2019-04-25T00:00:00"/>
    <s v="Brokerage"/>
    <s v="Inception"/>
    <m/>
    <d v="2020-01-22T00:00:00"/>
  </r>
  <r>
    <s v="ABC"/>
    <x v="186"/>
    <x v="1"/>
    <d v="2018-06-23T00:00:00"/>
    <d v="2019-06-22T00:00:00"/>
    <s v="Employee Benefits"/>
    <n v="12"/>
    <s v="Shivani Sharma"/>
    <s v="Ahmedabad"/>
    <x v="6"/>
    <x v="0"/>
    <n v="2440.25"/>
    <d v="2018-06-23T00:00:00"/>
    <s v="Brokerage"/>
    <s v="Inception"/>
    <m/>
    <d v="2020-01-22T00:00:00"/>
  </r>
  <r>
    <s v="ABC"/>
    <x v="187"/>
    <x v="0"/>
    <d v="2019-06-23T00:00:00"/>
    <d v="2020-06-22T00:00:00"/>
    <s v="Employee Benefits"/>
    <n v="3"/>
    <s v="Animesh Rawat"/>
    <s v="Ahmedabad"/>
    <x v="6"/>
    <x v="0"/>
    <n v="1412.55"/>
    <d v="2019-06-23T00:00:00"/>
    <s v="Brokerage"/>
    <s v="Renewal"/>
    <m/>
    <d v="2020-01-22T00:00:00"/>
  </r>
  <r>
    <s v="ABC"/>
    <x v="188"/>
    <x v="0"/>
    <d v="2019-04-24T00:00:00"/>
    <d v="2020-04-23T00:00:00"/>
    <s v="Employee Benefits"/>
    <n v="10"/>
    <s v="Mark"/>
    <s v="Ahmedabad"/>
    <x v="3"/>
    <x v="0"/>
    <n v="63750"/>
    <d v="2019-04-24T00:00:00"/>
    <s v="Brokerage"/>
    <s v="Endorsement"/>
    <m/>
    <d v="2020-01-22T00:00:00"/>
  </r>
  <r>
    <s v="ABC"/>
    <x v="188"/>
    <x v="0"/>
    <d v="2019-04-24T00:00:00"/>
    <d v="2020-04-23T00:00:00"/>
    <s v="Employee Benefits"/>
    <n v="10"/>
    <s v="Mark"/>
    <s v="Ahmedabad"/>
    <x v="3"/>
    <x v="0"/>
    <n v="3098.63"/>
    <d v="2019-07-13T00:00:00"/>
    <s v="Brokerage "/>
    <s v="Endorsement"/>
    <m/>
    <d v="2020-01-22T00:00:00"/>
  </r>
  <r>
    <s v="ABC"/>
    <x v="188"/>
    <x v="0"/>
    <d v="2019-04-24T00:00:00"/>
    <d v="2020-04-23T00:00:00"/>
    <s v="Employee Benefits"/>
    <n v="10"/>
    <s v="Mark"/>
    <s v="Ahmedabad"/>
    <x v="3"/>
    <x v="0"/>
    <n v="1747.2"/>
    <d v="2019-07-17T00:00:00"/>
    <s v="Brokerage "/>
    <s v="Endorsement"/>
    <m/>
    <d v="2020-01-22T00:00:00"/>
  </r>
  <r>
    <s v="ABC"/>
    <x v="188"/>
    <x v="0"/>
    <d v="2019-04-24T00:00:00"/>
    <d v="2020-04-23T00:00:00"/>
    <s v="Employee Benefits"/>
    <n v="10"/>
    <s v="Mark"/>
    <s v="Ahmedabad"/>
    <x v="3"/>
    <x v="0"/>
    <n v="2458.58"/>
    <d v="2019-05-14T00:00:00"/>
    <s v="Brokerage "/>
    <s v="Endorsement"/>
    <m/>
    <d v="2020-01-22T00:00:00"/>
  </r>
  <r>
    <s v="ABC"/>
    <x v="189"/>
    <x v="1"/>
    <d v="2018-04-01T00:00:00"/>
    <d v="2019-03-31T00:00:00"/>
    <s v="Employee Benefits"/>
    <n v="10"/>
    <s v="Mark"/>
    <s v="Ahmedabad"/>
    <x v="3"/>
    <x v="0"/>
    <n v="11249.93"/>
    <d v="2018-04-01T00:00:00"/>
    <s v="Brokerage"/>
    <s v="Lapse"/>
    <s v="GMAN â€“ Global Mandate"/>
    <d v="2020-01-22T00:00:00"/>
  </r>
  <r>
    <s v="ABC"/>
    <x v="190"/>
    <x v="1"/>
    <d v="2018-04-01T00:00:00"/>
    <d v="2019-03-31T00:00:00"/>
    <s v="Employee Benefits"/>
    <n v="10"/>
    <s v="Mark"/>
    <s v="Ahmedabad"/>
    <x v="3"/>
    <x v="0"/>
    <n v="14603.3"/>
    <d v="2018-04-01T00:00:00"/>
    <s v="Brokerage"/>
    <s v="Lapse"/>
    <s v="GMAN â€“ Global Mandate"/>
    <d v="2020-01-22T00:00:00"/>
  </r>
  <r>
    <s v="ABC"/>
    <x v="191"/>
    <x v="1"/>
    <d v="2018-06-13T00:00:00"/>
    <d v="2019-06-12T00:00:00"/>
    <s v="Employee Benefits"/>
    <n v="10"/>
    <s v="Mark"/>
    <s v="Ahmedabad"/>
    <x v="3"/>
    <x v="0"/>
    <n v="28940.65"/>
    <d v="2018-06-13T00:00:00"/>
    <s v="Brokerage"/>
    <s v="Lapse"/>
    <s v="GMAN â€“ Global Mandate"/>
    <d v="2020-01-22T00:00:00"/>
  </r>
  <r>
    <s v="ABC"/>
    <x v="192"/>
    <x v="1"/>
    <d v="2018-04-01T00:00:00"/>
    <d v="2019-03-31T00:00:00"/>
    <s v="Employee Benefits"/>
    <n v="10"/>
    <s v="Mark"/>
    <s v="Ahmedabad"/>
    <x v="3"/>
    <x v="0"/>
    <n v="146052.65"/>
    <d v="2018-04-01T00:00:00"/>
    <s v="Brokerage"/>
    <s v="Lapse"/>
    <s v="GMAN â€“ Global Mandate"/>
    <d v="2020-01-22T00:00:00"/>
  </r>
  <r>
    <s v="ABC"/>
    <x v="193"/>
    <x v="0"/>
    <d v="2019-05-02T00:00:00"/>
    <d v="2020-05-01T00:00:00"/>
    <s v="Liability"/>
    <n v="1"/>
    <s v="Vinay"/>
    <s v="Ahmedabad"/>
    <x v="2"/>
    <x v="0"/>
    <n v="25000"/>
    <d v="2019-05-02T00:00:00"/>
    <s v="Brokerage"/>
    <s v="Inception"/>
    <m/>
    <d v="2020-01-22T00:00:00"/>
  </r>
  <r>
    <s v="ABC"/>
    <x v="194"/>
    <x v="0"/>
    <d v="2019-02-16T00:00:00"/>
    <d v="2020-02-15T00:00:00"/>
    <s v="Employee Benefits"/>
    <n v="13"/>
    <s v="Vididt Saha"/>
    <s v="Ahmedabad"/>
    <x v="3"/>
    <x v="1"/>
    <n v="1148.93"/>
    <d v="2019-02-16T00:00:00"/>
    <s v="Brokerage"/>
    <s v="Inception"/>
    <m/>
    <d v="2020-01-22T00:00:00"/>
  </r>
  <r>
    <s v="ABC"/>
    <x v="195"/>
    <x v="0"/>
    <d v="2019-02-16T00:00:00"/>
    <d v="2020-02-15T00:00:00"/>
    <s v="Employee Benefits"/>
    <n v="13"/>
    <s v="Vididt Saha"/>
    <s v="Ahmedabad"/>
    <x v="3"/>
    <x v="1"/>
    <n v="58300"/>
    <d v="2019-02-16T00:00:00"/>
    <s v="Brokerage"/>
    <s v="Inception"/>
    <m/>
    <d v="2020-01-22T00:00:00"/>
  </r>
  <r>
    <s v="ABC"/>
    <x v="196"/>
    <x v="1"/>
    <d v="2018-02-24T00:00:00"/>
    <d v="2019-02-23T00:00:00"/>
    <s v="Liability"/>
    <n v="12"/>
    <s v="Shivani Sharma"/>
    <s v="Ahmedabad"/>
    <x v="6"/>
    <x v="0"/>
    <n v="6250"/>
    <d v="2018-02-24T00:00:00"/>
    <s v="Brokerage"/>
    <s v="Inception"/>
    <m/>
    <d v="2020-01-22T00:00:00"/>
  </r>
  <r>
    <s v="ABC"/>
    <x v="197"/>
    <x v="0"/>
    <d v="2019-02-24T00:00:00"/>
    <d v="2020-02-23T00:00:00"/>
    <s v="Liability"/>
    <n v="3"/>
    <s v="Animesh Rawat"/>
    <s v="Ahmedabad"/>
    <x v="6"/>
    <x v="0"/>
    <n v="6250"/>
    <d v="2019-02-24T00:00:00"/>
    <s v="Brokerage"/>
    <s v="Renewal"/>
    <m/>
    <d v="2020-01-22T00:00:00"/>
  </r>
  <r>
    <s v="ABC"/>
    <x v="198"/>
    <x v="1"/>
    <d v="2018-02-26T00:00:00"/>
    <d v="2019-02-25T00:00:00"/>
    <s v="Liability"/>
    <n v="12"/>
    <s v="Shivani Sharma"/>
    <s v="Ahmedabad"/>
    <x v="6"/>
    <x v="0"/>
    <n v="12500"/>
    <d v="2018-02-26T00:00:00"/>
    <s v="Brokerage"/>
    <s v="Inception"/>
    <m/>
    <d v="2020-01-22T00:00:00"/>
  </r>
  <r>
    <s v="ABC"/>
    <x v="199"/>
    <x v="0"/>
    <d v="2019-02-26T00:00:00"/>
    <d v="2020-02-25T00:00:00"/>
    <s v="Liability"/>
    <n v="3"/>
    <s v="Animesh Rawat"/>
    <s v="Ahmedabad"/>
    <x v="6"/>
    <x v="0"/>
    <n v="12500"/>
    <d v="2019-02-26T00:00:00"/>
    <s v="Brokerage"/>
    <s v="Renewal"/>
    <m/>
    <d v="2020-01-22T00:00:00"/>
  </r>
  <r>
    <s v="ABC"/>
    <x v="200"/>
    <x v="0"/>
    <d v="2019-03-11T00:00:00"/>
    <d v="2020-03-10T00:00:00"/>
    <s v="Miscellaneous"/>
    <n v="3"/>
    <s v="Animesh Rawat"/>
    <s v="Ahmedabad"/>
    <x v="6"/>
    <x v="2"/>
    <n v="2645.75"/>
    <d v="2019-03-11T00:00:00"/>
    <s v="Brokerage"/>
    <s v="Inception"/>
    <m/>
    <d v="2020-01-22T00:00:00"/>
  </r>
  <r>
    <s v="ABC"/>
    <x v="201"/>
    <x v="1"/>
    <d v="2018-02-27T00:00:00"/>
    <d v="2019-02-26T00:00:00"/>
    <s v="Fire"/>
    <n v="1"/>
    <s v="Vinay"/>
    <s v="Ahmedabad"/>
    <x v="4"/>
    <x v="1"/>
    <n v="2939.29"/>
    <d v="2018-02-27T00:00:00"/>
    <s v="Brokerage"/>
    <s v="Inception"/>
    <m/>
    <d v="2020-01-22T00:00:00"/>
  </r>
  <r>
    <s v="ABC"/>
    <x v="202"/>
    <x v="1"/>
    <d v="2018-02-27T00:00:00"/>
    <d v="2019-02-26T00:00:00"/>
    <s v="Fire"/>
    <n v="1"/>
    <s v="Vinay"/>
    <s v="Ahmedabad"/>
    <x v="4"/>
    <x v="0"/>
    <n v="5207.66"/>
    <d v="2018-02-27T00:00:00"/>
    <s v="Brokerage"/>
    <s v="Inception"/>
    <m/>
    <d v="2020-01-22T00:00:00"/>
  </r>
  <r>
    <s v="ABC"/>
    <x v="203"/>
    <x v="0"/>
    <d v="2019-02-27T00:00:00"/>
    <d v="2020-02-26T00:00:00"/>
    <s v="Fire"/>
    <n v="1"/>
    <s v="Vinay"/>
    <s v="Ahmedabad"/>
    <x v="4"/>
    <x v="0"/>
    <n v="5601.1"/>
    <d v="2019-02-27T00:00:00"/>
    <s v="Brokerage"/>
    <s v="Renewal"/>
    <m/>
    <d v="2020-01-22T00:00:00"/>
  </r>
  <r>
    <s v="ABC"/>
    <x v="204"/>
    <x v="1"/>
    <d v="2018-02-27T00:00:00"/>
    <d v="2019-02-26T00:00:00"/>
    <s v="Fire"/>
    <n v="1"/>
    <s v="Vinay"/>
    <s v="Ahmedabad"/>
    <x v="4"/>
    <x v="2"/>
    <n v="1972.37"/>
    <d v="2018-02-27T00:00:00"/>
    <s v="Brokerage"/>
    <s v="Inception"/>
    <m/>
    <d v="2020-01-22T00:00:00"/>
  </r>
  <r>
    <s v="ABC"/>
    <x v="151"/>
    <x v="0"/>
    <d v="2019-02-27T00:00:00"/>
    <d v="2020-02-26T00:00:00"/>
    <s v="Fire"/>
    <n v="1"/>
    <s v="Vinay"/>
    <s v="Ahmedabad"/>
    <x v="4"/>
    <x v="2"/>
    <n v="2141.5500000000002"/>
    <d v="2019-02-27T00:00:00"/>
    <s v="Brokerage"/>
    <s v="Renewal"/>
    <m/>
    <d v="2020-01-22T00:00:00"/>
  </r>
  <r>
    <s v="ABC"/>
    <x v="205"/>
    <x v="0"/>
    <d v="2019-02-27T00:00:00"/>
    <d v="2020-02-26T00:00:00"/>
    <s v="Fire"/>
    <n v="1"/>
    <s v="Vinay"/>
    <s v="Ahmedabad"/>
    <x v="4"/>
    <x v="0"/>
    <n v="3136.39"/>
    <d v="2019-03-02T00:00:00"/>
    <s v="Brokerage"/>
    <s v="Renewal"/>
    <m/>
    <d v="2020-01-22T00:00:00"/>
  </r>
  <r>
    <s v="ABC"/>
    <x v="206"/>
    <x v="0"/>
    <d v="2019-11-15T00:00:00"/>
    <d v="2020-11-14T00:00:00"/>
    <s v="Fire"/>
    <n v="1"/>
    <s v="Vinay"/>
    <s v="Ahmedabad"/>
    <x v="5"/>
    <x v="0"/>
    <n v="35127.9"/>
    <d v="2019-11-15T00:00:00"/>
    <s v="Brokerage"/>
    <s v="Inception"/>
    <m/>
    <d v="2020-01-22T00:00:00"/>
  </r>
  <r>
    <s v="ABC"/>
    <x v="207"/>
    <x v="0"/>
    <d v="2019-03-12T00:00:00"/>
    <d v="2020-03-11T00:00:00"/>
    <s v="Engineering"/>
    <n v="11"/>
    <s v="Raju Kumar"/>
    <s v="Ahmedabad"/>
    <x v="1"/>
    <x v="2"/>
    <n v="18229.13"/>
    <d v="2019-03-12T00:00:00"/>
    <s v="Brokerage"/>
    <s v="Inception"/>
    <m/>
    <d v="2020-01-22T00:00:00"/>
  </r>
  <r>
    <s v="ABC"/>
    <x v="208"/>
    <x v="0"/>
    <d v="2018-03-16T00:00:00"/>
    <d v="2019-03-15T00:00:00"/>
    <s v="Miscellaneous"/>
    <n v="11"/>
    <s v="Raju Kumar"/>
    <s v="Ahmedabad"/>
    <x v="2"/>
    <x v="2"/>
    <n v="6158.75"/>
    <d v="2018-03-16T00:00:00"/>
    <s v="Brokerage"/>
    <s v="Inception"/>
    <m/>
    <d v="2020-01-22T00:00:00"/>
  </r>
  <r>
    <s v="ABC"/>
    <x v="209"/>
    <x v="0"/>
    <d v="2018-01-22T00:00:00"/>
    <d v="2019-01-21T00:00:00"/>
    <s v="Marine"/>
    <n v="1"/>
    <s v="Vinay"/>
    <s v="Ahmedabad"/>
    <x v="0"/>
    <x v="2"/>
    <n v="825"/>
    <d v="2018-01-22T00:00:00"/>
    <s v="Brokerage"/>
    <s v="Inception"/>
    <m/>
    <d v="2020-01-22T00:00:00"/>
  </r>
  <r>
    <s v="TT"/>
    <x v="210"/>
    <x v="1"/>
    <d v="2018-02-20T00:00:00"/>
    <d v="2019-02-19T00:00:00"/>
    <s v="Miscellaneous"/>
    <n v="9"/>
    <s v="Manish Sharma"/>
    <s v="Ahmedabad"/>
    <x v="4"/>
    <x v="0"/>
    <n v="8452.1299999999992"/>
    <d v="2018-02-20T00:00:00"/>
    <s v="Brokerage"/>
    <s v="Inception"/>
    <m/>
    <d v="2020-01-22T00:00:00"/>
  </r>
  <r>
    <s v="TT"/>
    <x v="211"/>
    <x v="0"/>
    <d v="2019-01-01T00:00:00"/>
    <d v="2019-12-31T00:00:00"/>
    <s v="Fire"/>
    <n v="9"/>
    <s v="Manish Sharma"/>
    <s v="Ahmedabad"/>
    <x v="4"/>
    <x v="2"/>
    <n v="7475"/>
    <d v="2019-01-01T00:00:00"/>
    <s v="Brokerage"/>
    <s v="Inception"/>
    <m/>
    <d v="2020-01-22T00:00:00"/>
  </r>
  <r>
    <s v="TT"/>
    <x v="212"/>
    <x v="0"/>
    <d v="2019-02-11T00:00:00"/>
    <d v="2020-02-10T00:00:00"/>
    <s v="Miscellaneous"/>
    <n v="9"/>
    <s v="Manish Sharma"/>
    <s v="Ahmedabad"/>
    <x v="4"/>
    <x v="2"/>
    <n v="15563.87"/>
    <d v="2019-02-11T00:00:00"/>
    <s v="Brokerage"/>
    <s v="Inception"/>
    <m/>
    <d v="2020-01-22T00:00:00"/>
  </r>
  <r>
    <s v="TT"/>
    <x v="213"/>
    <x v="0"/>
    <d v="2018-11-28T00:00:00"/>
    <d v="2019-05-27T00:00:00"/>
    <s v="Miscellaneous"/>
    <n v="9"/>
    <s v="Manish Sharma"/>
    <s v="Ahmedabad"/>
    <x v="3"/>
    <x v="2"/>
    <n v="2739.83"/>
    <d v="2018-11-28T00:00:00"/>
    <s v="Brokerage"/>
    <s v="Inception"/>
    <m/>
    <d v="2020-01-22T00:00:00"/>
  </r>
  <r>
    <s v="TT"/>
    <x v="214"/>
    <x v="0"/>
    <d v="2018-12-29T00:00:00"/>
    <d v="2019-06-28T00:00:00"/>
    <s v="Miscellaneous"/>
    <n v="9"/>
    <s v="Manish Sharma"/>
    <s v="Ahmedabad"/>
    <x v="3"/>
    <x v="0"/>
    <n v="2228.33"/>
    <d v="2018-12-29T00:00:00"/>
    <s v="Brokerage"/>
    <s v="Inception"/>
    <m/>
    <d v="2020-01-22T00:00:00"/>
  </r>
  <r>
    <s v="TT"/>
    <x v="215"/>
    <x v="0"/>
    <d v="2019-02-20T00:00:00"/>
    <d v="2020-02-19T00:00:00"/>
    <s v="Miscellaneous"/>
    <n v="9"/>
    <s v="Manish Sharma"/>
    <s v="Ahmedabad"/>
    <x v="4"/>
    <x v="0"/>
    <n v="7162.88"/>
    <d v="2019-02-20T00:00:00"/>
    <s v="Brokerage"/>
    <s v="Renewal"/>
    <m/>
    <d v="2020-01-22T00:00:00"/>
  </r>
  <r>
    <s v="TT"/>
    <x v="216"/>
    <x v="0"/>
    <d v="2019-02-08T00:00:00"/>
    <d v="2020-02-07T00:00:00"/>
    <s v="Fire"/>
    <n v="13"/>
    <s v="Vididt Saha"/>
    <s v="Ahmedabad"/>
    <x v="4"/>
    <x v="1"/>
    <n v="1569.64"/>
    <d v="2019-02-08T00:00:00"/>
    <s v="Brokerage"/>
    <s v="Inception"/>
    <m/>
    <d v="2020-01-22T00:00:00"/>
  </r>
  <r>
    <s v="TT"/>
    <x v="217"/>
    <x v="0"/>
    <d v="2018-03-10T00:00:00"/>
    <d v="2019-03-09T00:00:00"/>
    <s v="Fire"/>
    <n v="1"/>
    <s v="Vinay"/>
    <s v="Ahmedabad"/>
    <x v="4"/>
    <x v="1"/>
    <n v="2340.25"/>
    <d v="2018-03-10T00:00:00"/>
    <s v="Brokerage"/>
    <s v="Inception"/>
    <m/>
    <d v="2020-01-22T00:00:00"/>
  </r>
  <r>
    <s v="TT"/>
    <x v="218"/>
    <x v="0"/>
    <d v="2018-03-10T00:00:00"/>
    <d v="2019-03-09T00:00:00"/>
    <s v="Miscellaneous"/>
    <n v="1"/>
    <s v="Vinay"/>
    <s v="Ahmedabad"/>
    <x v="4"/>
    <x v="1"/>
    <n v="125"/>
    <d v="2018-03-10T00:00:00"/>
    <s v="Brokerage"/>
    <s v="Inception"/>
    <m/>
    <d v="2020-01-22T00:00:00"/>
  </r>
  <r>
    <s v="TT"/>
    <x v="219"/>
    <x v="0"/>
    <d v="2018-06-01T00:00:00"/>
    <d v="2019-05-31T00:00:00"/>
    <s v="Liability"/>
    <n v="11"/>
    <s v="Raju Kumar"/>
    <s v="Ahmedabad"/>
    <x v="2"/>
    <x v="1"/>
    <n v="100000"/>
    <d v="2018-06-01T00:00:00"/>
    <s v="Brokerage"/>
    <s v="Endorsement"/>
    <m/>
    <d v="2020-01-22T00:00:00"/>
  </r>
  <r>
    <s v="TT"/>
    <x v="219"/>
    <x v="0"/>
    <d v="2018-06-01T00:00:00"/>
    <d v="2019-05-31T00:00:00"/>
    <s v="Liability"/>
    <n v="11"/>
    <s v="Raju Kumar"/>
    <s v="Ahmedabad"/>
    <x v="2"/>
    <x v="1"/>
    <m/>
    <d v="2018-08-03T00:00:00"/>
    <s v="Brokerage "/>
    <s v="Endorsement"/>
    <m/>
    <d v="2020-01-22T00:00:00"/>
  </r>
  <r>
    <s v="TT"/>
    <x v="220"/>
    <x v="0"/>
    <d v="2019-04-22T00:00:00"/>
    <d v="2020-04-21T00:00:00"/>
    <s v="Liability"/>
    <n v="11"/>
    <s v="Raju Kumar"/>
    <s v="Ahmedabad"/>
    <x v="2"/>
    <x v="2"/>
    <n v="60025"/>
    <d v="2019-04-22T00:00:00"/>
    <s v="Brokerage"/>
    <s v="Inception"/>
    <m/>
    <d v="2020-01-22T00:00:00"/>
  </r>
  <r>
    <s v="TT"/>
    <x v="221"/>
    <x v="0"/>
    <d v="2019-07-08T00:00:00"/>
    <d v="2020-07-07T00:00:00"/>
    <s v="Liability"/>
    <n v="11"/>
    <s v="Raju Kumar"/>
    <s v="Ahmedabad"/>
    <x v="2"/>
    <x v="2"/>
    <n v="60025"/>
    <d v="2019-07-08T00:00:00"/>
    <s v="Brokerage"/>
    <s v="Inception"/>
    <m/>
    <d v="2020-01-22T00:00:00"/>
  </r>
  <r>
    <s v="TT"/>
    <x v="222"/>
    <x v="0"/>
    <d v="2019-07-08T00:00:00"/>
    <d v="2020-07-07T00:00:00"/>
    <s v="Liability"/>
    <n v="11"/>
    <s v="Raju Kumar"/>
    <s v="Ahmedabad"/>
    <x v="2"/>
    <x v="2"/>
    <n v="60025"/>
    <d v="2019-07-08T00:00:00"/>
    <s v="Brokerage"/>
    <s v="Inception"/>
    <m/>
    <d v="2020-01-22T00:00:00"/>
  </r>
  <r>
    <s v="TT"/>
    <x v="223"/>
    <x v="1"/>
    <d v="2018-06-29T00:00:00"/>
    <d v="2019-06-28T00:00:00"/>
    <s v="Employee Benefits"/>
    <n v="10"/>
    <s v="Mark"/>
    <s v="Ahmedabad"/>
    <x v="3"/>
    <x v="0"/>
    <n v="5839.35"/>
    <d v="2018-06-29T00:00:00"/>
    <s v="Brokerage"/>
    <s v="Lapse"/>
    <s v="GMAN â€“ Global Mandate"/>
    <d v="2020-01-22T00:00:00"/>
  </r>
  <r>
    <s v="TT"/>
    <x v="224"/>
    <x v="0"/>
    <d v="2019-01-01T00:00:00"/>
    <d v="2019-12-31T00:00:00"/>
    <s v="Marine"/>
    <n v="3"/>
    <s v="Animesh Rawat"/>
    <s v="Ahmedabad"/>
    <x v="6"/>
    <x v="0"/>
    <n v="36833.85"/>
    <d v="2019-01-01T00:00:00"/>
    <s v="Brokerage"/>
    <s v="Renewal"/>
    <m/>
    <d v="2020-01-22T00:00:00"/>
  </r>
  <r>
    <s v="TT"/>
    <x v="225"/>
    <x v="0"/>
    <d v="2018-07-01T00:00:00"/>
    <d v="2019-06-30T00:00:00"/>
    <s v="Miscellaneous"/>
    <n v="3"/>
    <s v="Animesh Rawat"/>
    <s v="Ahmedabad"/>
    <x v="6"/>
    <x v="0"/>
    <n v="6268.75"/>
    <d v="2019-06-30T00:00:00"/>
    <s v="Brokerage"/>
    <s v="Inception"/>
    <m/>
    <d v="2020-01-22T00:00:00"/>
  </r>
  <r>
    <s v="TT"/>
    <x v="226"/>
    <x v="0"/>
    <d v="2018-07-01T00:00:00"/>
    <d v="2019-06-30T00:00:00"/>
    <s v="Fire"/>
    <n v="3"/>
    <s v="Animesh Rawat"/>
    <s v="Ahmedabad"/>
    <x v="6"/>
    <x v="0"/>
    <n v="45473.07"/>
    <d v="2019-06-30T00:00:00"/>
    <s v="Brokerage"/>
    <s v="Inception"/>
    <m/>
    <d v="2020-01-22T00:00:00"/>
  </r>
  <r>
    <s v="TT"/>
    <x v="227"/>
    <x v="0"/>
    <d v="2018-07-01T00:00:00"/>
    <d v="2019-06-30T00:00:00"/>
    <s v="Miscellaneous"/>
    <n v="3"/>
    <s v="Animesh Rawat"/>
    <s v="Ahmedabad"/>
    <x v="6"/>
    <x v="0"/>
    <n v="9436.56"/>
    <d v="2019-06-30T00:00:00"/>
    <s v="Brokerage"/>
    <s v="Inception"/>
    <m/>
    <d v="2020-01-22T00:00:00"/>
  </r>
  <r>
    <s v="TT"/>
    <x v="228"/>
    <x v="0"/>
    <d v="2018-07-01T00:00:00"/>
    <d v="2019-06-30T00:00:00"/>
    <s v="Liability"/>
    <n v="3"/>
    <s v="Animesh Rawat"/>
    <s v="Ahmedabad"/>
    <x v="6"/>
    <x v="0"/>
    <n v="30030.63"/>
    <d v="2019-06-30T00:00:00"/>
    <s v="Brokerage"/>
    <s v="Inception"/>
    <m/>
    <d v="2020-01-22T00:00:00"/>
  </r>
  <r>
    <s v="TT"/>
    <x v="229"/>
    <x v="0"/>
    <d v="2018-09-26T00:00:00"/>
    <d v="2019-09-25T00:00:00"/>
    <s v="Marine"/>
    <n v="1"/>
    <s v="Vinay"/>
    <s v="Ahmedabad"/>
    <x v="0"/>
    <x v="2"/>
    <n v="2722.5"/>
    <d v="2018-09-26T00:00:00"/>
    <s v="Brokerage"/>
    <s v="Inception"/>
    <m/>
    <d v="2020-01-22T00:00:00"/>
  </r>
  <r>
    <s v="TT"/>
    <x v="230"/>
    <x v="1"/>
    <d v="2017-12-12T00:00:00"/>
    <d v="2018-12-11T00:00:00"/>
    <s v="Liability"/>
    <n v="6"/>
    <s v="Ketan Jain"/>
    <s v="Ahmedabad"/>
    <x v="2"/>
    <x v="1"/>
    <n v="71875"/>
    <d v="2017-12-12T00:00:00"/>
    <s v="Brokerage"/>
    <s v="Inception"/>
    <m/>
    <d v="2020-01-22T00:00:00"/>
  </r>
  <r>
    <s v="TT"/>
    <x v="231"/>
    <x v="0"/>
    <d v="2018-12-12T00:00:00"/>
    <d v="2019-12-11T00:00:00"/>
    <s v="Liability"/>
    <n v="6"/>
    <s v="Ketan Jain"/>
    <s v="Ahmedabad"/>
    <x v="2"/>
    <x v="0"/>
    <n v="62500"/>
    <d v="2018-12-12T00:00:00"/>
    <s v="Brokerage"/>
    <s v="Renewal"/>
    <m/>
    <d v="2020-01-22T00:00:00"/>
  </r>
  <r>
    <s v="TT"/>
    <x v="232"/>
    <x v="0"/>
    <d v="2018-08-01T00:00:00"/>
    <d v="2019-07-31T00:00:00"/>
    <s v="Liability"/>
    <n v="6"/>
    <s v="Ketan Jain"/>
    <s v="Ahmedabad"/>
    <x v="2"/>
    <x v="0"/>
    <n v="84375"/>
    <d v="2018-08-01T00:00:00"/>
    <s v="Brokerage"/>
    <s v="Inception"/>
    <m/>
    <d v="2020-01-22T00:00:00"/>
  </r>
  <r>
    <s v="TT"/>
    <x v="233"/>
    <x v="1"/>
    <d v="2017-12-01T00:00:00"/>
    <d v="2018-11-30T00:00:00"/>
    <s v="Miscellaneous"/>
    <n v="3"/>
    <s v="Animesh Rawat"/>
    <s v="Ahmedabad"/>
    <x v="6"/>
    <x v="1"/>
    <n v="55107.13"/>
    <d v="2017-12-01T00:00:00"/>
    <s v="Brokerage"/>
    <s v="Inception"/>
    <m/>
    <d v="2020-01-22T00:00:00"/>
  </r>
  <r>
    <s v="TT"/>
    <x v="234"/>
    <x v="0"/>
    <d v="2018-12-01T00:00:00"/>
    <d v="2019-11-30T00:00:00"/>
    <s v="Miscellaneous"/>
    <n v="12"/>
    <s v="Shivani Sharma"/>
    <s v="Ahmedabad"/>
    <x v="6"/>
    <x v="0"/>
    <n v="231094.04"/>
    <d v="2018-12-01T00:00:00"/>
    <s v="Brokerage"/>
    <s v="Renewal"/>
    <m/>
    <d v="2020-01-22T00:00:00"/>
  </r>
  <r>
    <s v="TT"/>
    <x v="235"/>
    <x v="0"/>
    <d v="2018-05-25T00:00:00"/>
    <d v="2019-05-24T00:00:00"/>
    <s v="Miscellaneous"/>
    <n v="1"/>
    <s v="Vinay"/>
    <s v="Ahmedabad"/>
    <x v="2"/>
    <x v="2"/>
    <n v="943.5"/>
    <d v="2018-05-26T00:00:00"/>
    <s v="Brokerage"/>
    <s v="Inception"/>
    <m/>
    <d v="2020-01-22T00:00:00"/>
  </r>
  <r>
    <s v="TT"/>
    <x v="236"/>
    <x v="0"/>
    <d v="2018-05-25T00:00:00"/>
    <d v="2019-05-24T00:00:00"/>
    <s v="Miscellaneous"/>
    <n v="1"/>
    <s v="Vinay"/>
    <s v="Ahmedabad"/>
    <x v="2"/>
    <x v="2"/>
    <n v="2809.13"/>
    <d v="2018-05-25T00:00:00"/>
    <s v="Brokerage"/>
    <s v="Inception"/>
    <m/>
    <d v="2020-01-22T00:00:00"/>
  </r>
  <r>
    <s v="TT"/>
    <x v="237"/>
    <x v="0"/>
    <d v="2018-05-25T00:00:00"/>
    <d v="2019-05-24T00:00:00"/>
    <s v="Miscellaneous"/>
    <n v="1"/>
    <s v="Vinay"/>
    <s v="Ahmedabad"/>
    <x v="2"/>
    <x v="0"/>
    <n v="2809.25"/>
    <d v="2018-05-25T00:00:00"/>
    <s v="Brokerage"/>
    <s v="Inception"/>
    <m/>
    <d v="2020-01-22T00:00:00"/>
  </r>
  <r>
    <s v="XYZ"/>
    <x v="238"/>
    <x v="0"/>
    <d v="2019-12-02T00:00:00"/>
    <d v="2020-12-01T00:00:00"/>
    <s v="Marine"/>
    <n v="2"/>
    <s v="Abhinav Shivam"/>
    <s v="Ahmedabad"/>
    <x v="0"/>
    <x v="1"/>
    <n v="20625"/>
    <d v="2019-12-02T00:00:00"/>
    <s v="Brokerage"/>
    <s v="Inception"/>
    <m/>
    <d v="2020-01-22T00:00:00"/>
  </r>
  <r>
    <s v="XYZ"/>
    <x v="239"/>
    <x v="0"/>
    <d v="2019-07-29T00:00:00"/>
    <d v="2020-07-28T00:00:00"/>
    <s v="Fire"/>
    <n v="2"/>
    <s v="Abhinav Shivam"/>
    <s v="Ahmedabad"/>
    <x v="5"/>
    <x v="1"/>
    <n v="32683"/>
    <d v="2019-07-29T00:00:00"/>
    <s v="Brokerage"/>
    <s v="Inception"/>
    <m/>
    <d v="2020-01-22T00:00:00"/>
  </r>
  <r>
    <s v="XYZ"/>
    <x v="239"/>
    <x v="0"/>
    <d v="2019-07-29T00:00:00"/>
    <d v="2020-07-28T00:00:00"/>
    <s v="Fire"/>
    <n v="2"/>
    <s v="Abhinav Shivam"/>
    <s v="Ahmedabad"/>
    <x v="5"/>
    <x v="1"/>
    <n v="84590.55"/>
    <d v="2019-07-29T00:00:00"/>
    <s v="Brokerage"/>
    <s v="Inception"/>
    <m/>
    <d v="2020-01-22T00:00:00"/>
  </r>
  <r>
    <s v="XYZ"/>
    <x v="147"/>
    <x v="0"/>
    <d v="2019-07-29T00:00:00"/>
    <d v="2020-07-28T00:00:00"/>
    <s v="Miscellaneous"/>
    <n v="2"/>
    <s v="Abhinav Shivam"/>
    <s v="Ahmedabad"/>
    <x v="5"/>
    <x v="1"/>
    <n v="10547.63"/>
    <d v="2019-07-29T00:00:00"/>
    <s v="Brokerage"/>
    <s v="Inception"/>
    <m/>
    <d v="2020-01-22T00:00:00"/>
  </r>
  <r>
    <s v="XYZ"/>
    <x v="240"/>
    <x v="0"/>
    <d v="2019-07-26T00:00:00"/>
    <d v="2020-07-25T00:00:00"/>
    <s v="Liability"/>
    <n v="2"/>
    <s v="Abhinav Shivam"/>
    <s v="Ahmedabad"/>
    <x v="2"/>
    <x v="2"/>
    <n v="63000"/>
    <d v="2019-07-26T00:00:00"/>
    <s v="Brokerage"/>
    <s v="Inception"/>
    <m/>
    <d v="2020-01-22T00:00:00"/>
  </r>
  <r>
    <s v="XYZ"/>
    <x v="241"/>
    <x v="1"/>
    <d v="2018-07-28T00:00:00"/>
    <d v="2019-07-27T00:00:00"/>
    <s v="Miscellaneous"/>
    <n v="8"/>
    <s v="Kumar Jha"/>
    <s v="Ahmedabad"/>
    <x v="7"/>
    <x v="0"/>
    <n v="121875"/>
    <d v="2018-07-28T00:00:00"/>
    <s v="Brokerage"/>
    <s v="Endorsement"/>
    <m/>
    <d v="2020-01-22T00:00:00"/>
  </r>
  <r>
    <s v="XYZ"/>
    <x v="241"/>
    <x v="1"/>
    <d v="2018-07-28T00:00:00"/>
    <d v="2019-07-27T00:00:00"/>
    <s v="Miscellaneous"/>
    <n v="8"/>
    <s v="Kumar Jha"/>
    <s v="Ahmedabad"/>
    <x v="7"/>
    <x v="0"/>
    <n v="8174.5"/>
    <d v="2019-07-18T00:00:00"/>
    <s v="Brokerage "/>
    <s v="Endorsement"/>
    <m/>
    <d v="2020-01-22T00:00:00"/>
  </r>
  <r>
    <s v="XYZ"/>
    <x v="241"/>
    <x v="0"/>
    <d v="2019-07-28T00:00:00"/>
    <d v="2020-07-27T00:00:00"/>
    <s v="Miscellaneous"/>
    <n v="4"/>
    <s v="Gilbert"/>
    <s v="Ahmedabad"/>
    <x v="7"/>
    <x v="0"/>
    <n v="115781.25"/>
    <d v="2019-07-28T00:00:00"/>
    <s v="Brokerage"/>
    <s v="Renewal"/>
    <m/>
    <d v="2020-01-22T00:00:00"/>
  </r>
  <r>
    <s v="XYZ"/>
    <x v="242"/>
    <x v="1"/>
    <d v="2018-04-01T00:00:00"/>
    <d v="2019-03-31T00:00:00"/>
    <s v="Liability"/>
    <n v="3"/>
    <s v="Animesh Rawat"/>
    <s v="Ahmedabad"/>
    <x v="6"/>
    <x v="0"/>
    <n v="318411.5"/>
    <d v="2019-03-31T00:00:00"/>
    <s v="Brokerage"/>
    <s v="Inception"/>
    <m/>
    <d v="2020-01-22T00:00:00"/>
  </r>
  <r>
    <s v="XYZ"/>
    <x v="243"/>
    <x v="0"/>
    <d v="2019-04-01T00:00:00"/>
    <d v="2020-03-31T00:00:00"/>
    <s v="Liability"/>
    <n v="3"/>
    <s v="Animesh Rawat"/>
    <s v="Ahmedabad"/>
    <x v="6"/>
    <x v="0"/>
    <n v="344794.13"/>
    <d v="2019-04-01T00:00:00"/>
    <s v="Brokerage"/>
    <s v="Renewal"/>
    <m/>
    <d v="2020-01-22T00:00:00"/>
  </r>
  <r>
    <s v="XYZ"/>
    <x v="244"/>
    <x v="0"/>
    <d v="2018-07-10T00:00:00"/>
    <d v="2019-07-09T00:00:00"/>
    <s v="Miscellaneous"/>
    <n v="3"/>
    <s v="Animesh Rawat"/>
    <s v="Ahmedabad"/>
    <x v="6"/>
    <x v="0"/>
    <n v="140949.5"/>
    <d v="2018-07-10T00:00:00"/>
    <s v="Brokerage"/>
    <s v="Inception"/>
    <m/>
    <d v="2020-01-22T00:00:00"/>
  </r>
  <r>
    <s v="XYZ"/>
    <x v="245"/>
    <x v="1"/>
    <d v="2018-01-01T00:00:00"/>
    <d v="2018-12-31T00:00:00"/>
    <s v="Fire"/>
    <n v="3"/>
    <s v="Animesh Rawat"/>
    <s v="Ahmedabad"/>
    <x v="6"/>
    <x v="0"/>
    <n v="460832.14"/>
    <d v="2018-01-01T00:00:00"/>
    <s v="Brokerage"/>
    <s v="Inception"/>
    <m/>
    <d v="2020-01-22T00:00:00"/>
  </r>
  <r>
    <s v="XYZ"/>
    <x v="246"/>
    <x v="0"/>
    <d v="2019-01-01T00:00:00"/>
    <d v="2019-03-31T00:00:00"/>
    <s v="Fire"/>
    <n v="3"/>
    <s v="Animesh Rawat"/>
    <s v="Ahmedabad"/>
    <x v="6"/>
    <x v="0"/>
    <n v="257590.8"/>
    <d v="2019-01-01T00:00:00"/>
    <s v="Brokerage"/>
    <s v="Endorsement"/>
    <m/>
    <d v="2020-01-22T00:00:00"/>
  </r>
  <r>
    <s v="XYZ"/>
    <x v="246"/>
    <x v="0"/>
    <d v="2019-01-01T00:00:00"/>
    <d v="2019-03-31T00:00:00"/>
    <s v="Fire"/>
    <n v="3"/>
    <s v="Animesh Rawat"/>
    <s v="Ahmedabad"/>
    <x v="6"/>
    <x v="0"/>
    <n v="-98802.02"/>
    <d v="2019-01-01T00:00:00"/>
    <s v="Brokerage "/>
    <s v="Endorsement"/>
    <m/>
    <d v="2020-01-22T00:00:00"/>
  </r>
  <r>
    <s v="XYZ"/>
    <x v="247"/>
    <x v="0"/>
    <d v="2018-02-07T00:00:00"/>
    <d v="2018-02-12T00:00:00"/>
    <s v="Miscellaneous"/>
    <n v="3"/>
    <s v="Animesh Rawat"/>
    <s v="Ahmedabad"/>
    <x v="6"/>
    <x v="2"/>
    <n v="338.55"/>
    <d v="2018-02-07T00:00:00"/>
    <s v="Brokerage"/>
    <s v="Inception"/>
    <m/>
    <d v="2020-01-22T00:00:00"/>
  </r>
  <r>
    <s v="XYZ"/>
    <x v="248"/>
    <x v="1"/>
    <d v="2018-04-01T00:00:00"/>
    <d v="2019-03-31T00:00:00"/>
    <s v="Liability"/>
    <n v="3"/>
    <s v="Animesh Rawat"/>
    <s v="Ahmedabad"/>
    <x v="6"/>
    <x v="0"/>
    <n v="40625"/>
    <d v="2019-03-31T00:00:00"/>
    <s v="Brokerage"/>
    <s v="Inception"/>
    <m/>
    <d v="2020-01-22T00:00:00"/>
  </r>
  <r>
    <s v="XYZ"/>
    <x v="249"/>
    <x v="0"/>
    <d v="2019-04-01T00:00:00"/>
    <d v="2020-03-31T00:00:00"/>
    <s v="Liability"/>
    <n v="3"/>
    <s v="Animesh Rawat"/>
    <s v="Ahmedabad"/>
    <x v="6"/>
    <x v="0"/>
    <n v="37500"/>
    <d v="2019-04-01T00:00:00"/>
    <s v="Brokerage"/>
    <s v="Renewal"/>
    <m/>
    <d v="2020-01-22T00:00:00"/>
  </r>
  <r>
    <s v="XYZ"/>
    <x v="250"/>
    <x v="1"/>
    <d v="2018-01-01T00:00:00"/>
    <d v="2018-12-31T00:00:00"/>
    <s v="Marine"/>
    <n v="3"/>
    <s v="Animesh Rawat"/>
    <s v="Ahmedabad"/>
    <x v="6"/>
    <x v="0"/>
    <n v="55361.599999999999"/>
    <d v="2018-01-01T00:00:00"/>
    <s v="Brokerage"/>
    <s v="Inception"/>
    <m/>
    <d v="2020-01-22T00:00:00"/>
  </r>
  <r>
    <s v="XYZ"/>
    <x v="250"/>
    <x v="1"/>
    <d v="2019-01-01T00:00:00"/>
    <d v="2019-12-31T00:00:00"/>
    <s v="Marine"/>
    <n v="3"/>
    <s v="Animesh Rawat"/>
    <s v="Ahmedabad"/>
    <x v="6"/>
    <x v="0"/>
    <n v="86723.5"/>
    <d v="2019-01-01T00:00:00"/>
    <s v="Brokerage"/>
    <s v="Renewal"/>
    <m/>
    <d v="2020-01-22T00:00:00"/>
  </r>
  <r>
    <s v="XYZ"/>
    <x v="250"/>
    <x v="0"/>
    <d v="2020-01-01T00:00:00"/>
    <d v="2020-03-31T00:00:00"/>
    <s v="Marine"/>
    <n v="3"/>
    <s v="Animesh Rawat"/>
    <s v="Ahmedabad"/>
    <x v="6"/>
    <x v="0"/>
    <n v="21680.799999999999"/>
    <d v="2020-01-01T00:00:00"/>
    <s v="Brokerage"/>
    <s v="Renewal"/>
    <m/>
    <d v="2020-01-22T00:00:00"/>
  </r>
  <r>
    <s v="XYZ"/>
    <x v="251"/>
    <x v="0"/>
    <d v="2018-07-20T00:00:00"/>
    <d v="2018-10-19T00:00:00"/>
    <s v="Engineering"/>
    <n v="3"/>
    <s v="Animesh Rawat"/>
    <s v="Ahmedabad"/>
    <x v="6"/>
    <x v="2"/>
    <n v="17419.13"/>
    <d v="2018-07-20T00:00:00"/>
    <s v="Brokerage"/>
    <s v="Inception"/>
    <m/>
    <d v="2020-01-22T00:00:00"/>
  </r>
  <r>
    <s v="XYZ"/>
    <x v="252"/>
    <x v="0"/>
    <d v="2018-09-05T00:00:00"/>
    <d v="2018-12-04T00:00:00"/>
    <s v="Engineering"/>
    <n v="3"/>
    <s v="Animesh Rawat"/>
    <s v="Ahmedabad"/>
    <x v="6"/>
    <x v="2"/>
    <n v="5165.63"/>
    <d v="2018-09-05T00:00:00"/>
    <s v="Brokerage"/>
    <s v="Inception"/>
    <m/>
    <d v="2020-01-22T00:00:00"/>
  </r>
  <r>
    <s v="XYZ"/>
    <x v="253"/>
    <x v="0"/>
    <d v="2019-05-23T00:00:00"/>
    <d v="2020-03-31T00:00:00"/>
    <s v="Engineering"/>
    <n v="3"/>
    <s v="Animesh Rawat"/>
    <s v="Ahmedabad"/>
    <x v="6"/>
    <x v="2"/>
    <n v="9990.15"/>
    <d v="2019-05-23T00:00:00"/>
    <s v="Brokerage"/>
    <s v="Inception"/>
    <m/>
    <d v="2020-01-22T00:00:00"/>
  </r>
  <r>
    <s v="XYZ"/>
    <x v="254"/>
    <x v="0"/>
    <d v="2018-06-11T00:00:00"/>
    <d v="2018-09-10T00:00:00"/>
    <s v="Engineering"/>
    <n v="3"/>
    <s v="Animesh Rawat"/>
    <s v="Ahmedabad"/>
    <x v="6"/>
    <x v="2"/>
    <n v="10625"/>
    <d v="2018-06-11T00:00:00"/>
    <s v="Brokerage"/>
    <s v="Inception"/>
    <m/>
    <d v="2020-01-22T00:00:00"/>
  </r>
  <r>
    <s v="XYZ"/>
    <x v="255"/>
    <x v="1"/>
    <d v="2017-07-01T00:00:00"/>
    <d v="2018-06-30T00:00:00"/>
    <s v="Miscellaneous"/>
    <n v="3"/>
    <s v="Animesh Rawat"/>
    <s v="Ahmedabad"/>
    <x v="6"/>
    <x v="0"/>
    <n v="14399.88"/>
    <d v="2017-07-01T00:00:00"/>
    <s v="Brokerage"/>
    <s v="Inception"/>
    <m/>
    <d v="2020-01-22T00:00:00"/>
  </r>
  <r>
    <s v="XYZ"/>
    <x v="255"/>
    <x v="0"/>
    <d v="2019-07-01T00:00:00"/>
    <d v="2020-06-30T00:00:00"/>
    <s v="Miscellaneous"/>
    <n v="3"/>
    <s v="Animesh Rawat"/>
    <s v="Ahmedabad"/>
    <x v="6"/>
    <x v="0"/>
    <n v="20165.5"/>
    <d v="2019-07-01T00:00:00"/>
    <s v="Brokerage"/>
    <s v="Renewal"/>
    <m/>
    <d v="2020-01-22T00:00:00"/>
  </r>
  <r>
    <s v="XYZ"/>
    <x v="256"/>
    <x v="0"/>
    <d v="2019-04-01T00:00:00"/>
    <d v="2019-05-31T00:00:00"/>
    <s v="Engineering"/>
    <n v="3"/>
    <s v="Animesh Rawat"/>
    <s v="Ahmedabad"/>
    <x v="6"/>
    <x v="2"/>
    <n v="11593.27"/>
    <d v="2019-04-01T00:00:00"/>
    <s v="Brokerage"/>
    <s v="Inception"/>
    <m/>
    <d v="2020-01-22T00:00:00"/>
  </r>
  <r>
    <s v="XYZ"/>
    <x v="257"/>
    <x v="1"/>
    <d v="2018-05-01T00:00:00"/>
    <d v="2019-04-30T00:00:00"/>
    <s v="Miscellaneous"/>
    <n v="3"/>
    <s v="Animesh Rawat"/>
    <s v="Ahmedabad"/>
    <x v="6"/>
    <x v="0"/>
    <n v="1185.9000000000001"/>
    <d v="2018-05-01T00:00:00"/>
    <s v="Brokerage"/>
    <s v="Inception"/>
    <m/>
    <d v="2020-01-22T00:00:00"/>
  </r>
  <r>
    <s v="XYZ"/>
    <x v="258"/>
    <x v="0"/>
    <d v="2019-05-01T00:00:00"/>
    <d v="2020-04-30T00:00:00"/>
    <s v="Miscellaneous"/>
    <n v="3"/>
    <s v="Animesh Rawat"/>
    <s v="Ahmedabad"/>
    <x v="6"/>
    <x v="0"/>
    <n v="1005"/>
    <d v="2019-05-01T00:00:00"/>
    <s v="Brokerage"/>
    <s v="Renewal"/>
    <m/>
    <d v="2020-01-22T00:00:00"/>
  </r>
  <r>
    <s v="XYZ"/>
    <x v="259"/>
    <x v="1"/>
    <d v="2017-09-28T00:00:00"/>
    <d v="2018-09-27T00:00:00"/>
    <s v="Miscellaneous"/>
    <n v="3"/>
    <s v="Animesh Rawat"/>
    <s v="Ahmedabad"/>
    <x v="6"/>
    <x v="0"/>
    <n v="1050.3800000000001"/>
    <d v="2017-09-28T00:00:00"/>
    <s v="Brokerage"/>
    <s v="Inception"/>
    <m/>
    <d v="2020-01-22T00:00:00"/>
  </r>
  <r>
    <s v="XYZ"/>
    <x v="260"/>
    <x v="0"/>
    <d v="2018-09-28T00:00:00"/>
    <d v="2019-09-27T00:00:00"/>
    <s v="Miscellaneous"/>
    <n v="3"/>
    <s v="Animesh Rawat"/>
    <s v="Ahmedabad"/>
    <x v="6"/>
    <x v="0"/>
    <n v="6250"/>
    <d v="2018-09-28T00:00:00"/>
    <s v="Brokerage"/>
    <s v="Endorsement"/>
    <m/>
    <d v="2020-01-22T00:00:00"/>
  </r>
  <r>
    <s v="XYZ"/>
    <x v="260"/>
    <x v="0"/>
    <d v="2018-09-28T00:00:00"/>
    <d v="2019-09-27T00:00:00"/>
    <s v="Miscellaneous"/>
    <n v="3"/>
    <s v="Animesh Rawat"/>
    <s v="Ahmedabad"/>
    <x v="6"/>
    <x v="0"/>
    <m/>
    <d v="2018-10-29T00:00:00"/>
    <s v="Brokerage "/>
    <s v="Endorsement"/>
    <m/>
    <d v="2020-01-22T00:00:00"/>
  </r>
  <r>
    <s v="XYZ"/>
    <x v="261"/>
    <x v="1"/>
    <d v="2018-09-28T00:00:00"/>
    <d v="2019-09-27T00:00:00"/>
    <s v="Miscellaneous"/>
    <n v="3"/>
    <s v="Animesh Rawat"/>
    <s v="Ahmedabad"/>
    <x v="6"/>
    <x v="0"/>
    <n v="6250"/>
    <d v="2018-09-28T00:00:00"/>
    <s v="Brokerage"/>
    <s v="Renewal"/>
    <m/>
    <d v="2020-01-22T00:00:00"/>
  </r>
  <r>
    <s v="XYZ"/>
    <x v="262"/>
    <x v="0"/>
    <d v="2019-09-28T00:00:00"/>
    <d v="2020-09-27T00:00:00"/>
    <s v="Miscellaneous"/>
    <n v="3"/>
    <s v="Animesh Rawat"/>
    <s v="Ahmedabad"/>
    <x v="6"/>
    <x v="0"/>
    <n v="18814.25"/>
    <d v="2019-09-28T00:00:00"/>
    <s v="Brokerage"/>
    <s v="Renewal"/>
    <m/>
    <d v="2020-01-22T00:00:00"/>
  </r>
  <r>
    <s v="XYZ"/>
    <x v="263"/>
    <x v="1"/>
    <d v="2018-04-09T00:00:00"/>
    <d v="2019-03-24T00:00:00"/>
    <s v="Liability"/>
    <n v="3"/>
    <s v="Animesh Rawat"/>
    <s v="Ahmedabad"/>
    <x v="6"/>
    <x v="0"/>
    <n v="200659.63"/>
    <d v="2019-03-31T00:00:00"/>
    <s v="Brokerage"/>
    <s v="Inception"/>
    <m/>
    <d v="2020-01-22T00:00:00"/>
  </r>
  <r>
    <s v="XYZ"/>
    <x v="264"/>
    <x v="0"/>
    <d v="2019-04-01T00:00:00"/>
    <d v="2020-03-31T00:00:00"/>
    <s v="Liability"/>
    <n v="3"/>
    <s v="Animesh Rawat"/>
    <s v="Ahmedabad"/>
    <x v="6"/>
    <x v="0"/>
    <n v="215165"/>
    <d v="2019-04-01T00:00:00"/>
    <s v="Brokerage"/>
    <s v="Renewal"/>
    <m/>
    <d v="2020-01-22T00:00:00"/>
  </r>
  <r>
    <s v="XYZ"/>
    <x v="265"/>
    <x v="0"/>
    <d v="2018-01-19T00:00:00"/>
    <d v="2019-01-18T00:00:00"/>
    <s v="Miscellaneous"/>
    <n v="3"/>
    <s v="Animesh Rawat"/>
    <s v="Ahmedabad"/>
    <x v="6"/>
    <x v="2"/>
    <n v="97.35"/>
    <d v="2018-02-07T00:00:00"/>
    <s v="Brokerage"/>
    <s v="Inception"/>
    <m/>
    <d v="2020-01-22T00:00:00"/>
  </r>
  <r>
    <s v="XYZ"/>
    <x v="266"/>
    <x v="0"/>
    <d v="2019-04-30T00:00:00"/>
    <d v="2019-06-30T00:00:00"/>
    <s v="Engineering"/>
    <n v="3"/>
    <s v="Animesh Rawat"/>
    <s v="Ahmedabad"/>
    <x v="6"/>
    <x v="2"/>
    <n v="3854.23"/>
    <d v="2019-04-30T00:00:00"/>
    <s v="Brokerage"/>
    <s v="Inception"/>
    <m/>
    <d v="2020-01-22T00:00:00"/>
  </r>
  <r>
    <s v="XYZ"/>
    <x v="267"/>
    <x v="0"/>
    <d v="2019-02-17T00:00:00"/>
    <d v="2019-02-22T00:00:00"/>
    <s v="Marine"/>
    <n v="3"/>
    <s v="Animesh Rawat"/>
    <s v="Ahmedabad"/>
    <x v="6"/>
    <x v="0"/>
    <n v="6739.76"/>
    <d v="2019-02-17T00:00:00"/>
    <s v="Brokerage"/>
    <s v="Inception"/>
    <m/>
    <d v="2020-01-22T00:00:00"/>
  </r>
  <r>
    <s v="XYZ"/>
    <x v="268"/>
    <x v="0"/>
    <d v="2019-03-04T00:00:00"/>
    <d v="2019-03-10T00:00:00"/>
    <s v="Miscellaneous"/>
    <n v="3"/>
    <s v="Animesh Rawat"/>
    <s v="Ahmedabad"/>
    <x v="6"/>
    <x v="2"/>
    <n v="6739.76"/>
    <d v="2019-03-04T00:00:00"/>
    <s v="Brokerage"/>
    <s v="Inception"/>
    <m/>
    <d v="2020-01-22T00:00:00"/>
  </r>
  <r>
    <s v="XYZ"/>
    <x v="269"/>
    <x v="0"/>
    <d v="2019-02-18T00:00:00"/>
    <d v="2019-03-05T00:00:00"/>
    <s v="Miscellaneous"/>
    <n v="3"/>
    <s v="Animesh Rawat"/>
    <s v="Ahmedabad"/>
    <x v="6"/>
    <x v="2"/>
    <n v="8468.49"/>
    <d v="2019-02-18T00:00:00"/>
    <s v="Brokerage"/>
    <s v="Inception"/>
    <m/>
    <d v="2020-01-22T00:00:00"/>
  </r>
  <r>
    <s v="XYZ"/>
    <x v="270"/>
    <x v="0"/>
    <d v="2019-02-18T00:00:00"/>
    <d v="2019-03-05T00:00:00"/>
    <s v="Miscellaneous"/>
    <n v="3"/>
    <s v="Animesh Rawat"/>
    <s v="Ahmedabad"/>
    <x v="6"/>
    <x v="2"/>
    <n v="529.13"/>
    <d v="2019-02-18T00:00:00"/>
    <s v="Brokerage"/>
    <s v="Inception"/>
    <m/>
    <d v="2020-01-22T00:00:00"/>
  </r>
  <r>
    <s v="XYZ"/>
    <x v="271"/>
    <x v="0"/>
    <d v="2019-04-05T00:00:00"/>
    <d v="2026-04-04T00:00:00"/>
    <s v="Liability"/>
    <n v="1"/>
    <s v="Vinay"/>
    <s v="Ahmedabad"/>
    <x v="2"/>
    <x v="2"/>
    <n v="162500"/>
    <d v="2019-04-05T00:00:00"/>
    <s v="Brokerage"/>
    <s v="Inception"/>
    <m/>
    <d v="2020-01-22T00:00:00"/>
  </r>
  <r>
    <s v="XYZ"/>
    <x v="272"/>
    <x v="0"/>
    <d v="2019-04-18T00:00:00"/>
    <d v="2025-10-17T00:00:00"/>
    <s v="Liability"/>
    <n v="1"/>
    <s v="Vinay"/>
    <s v="Ahmedabad"/>
    <x v="2"/>
    <x v="2"/>
    <n v="250000"/>
    <d v="2019-04-18T00:00:00"/>
    <s v="Brokerage"/>
    <s v="Inception"/>
    <m/>
    <d v="2020-01-22T00:00:00"/>
  </r>
  <r>
    <s v="XYZ"/>
    <x v="273"/>
    <x v="1"/>
    <d v="2017-08-02T00:00:00"/>
    <d v="2018-08-01T00:00:00"/>
    <s v="Fire"/>
    <n v="1"/>
    <s v="Vinay"/>
    <s v="Ahmedabad"/>
    <x v="1"/>
    <x v="2"/>
    <n v="78837.100000000006"/>
    <d v="2017-08-02T00:00:00"/>
    <s v="Brokerage"/>
    <s v="Lapse"/>
    <s v="DRCT - Direct"/>
    <d v="2020-01-22T00:00:00"/>
  </r>
  <r>
    <s v="XYZ"/>
    <x v="274"/>
    <x v="1"/>
    <d v="2018-03-23T00:00:00"/>
    <d v="2019-03-22T00:00:00"/>
    <s v="Liability"/>
    <n v="1"/>
    <s v="Vinay"/>
    <s v="Ahmedabad"/>
    <x v="2"/>
    <x v="0"/>
    <n v="21875"/>
    <d v="2018-03-23T00:00:00"/>
    <s v="Brokerage"/>
    <s v="Inception"/>
    <m/>
    <d v="2020-01-22T00:00:00"/>
  </r>
  <r>
    <s v="XYZ"/>
    <x v="275"/>
    <x v="0"/>
    <d v="2019-03-23T00:00:00"/>
    <d v="2020-03-22T00:00:00"/>
    <s v="Liability"/>
    <n v="1"/>
    <s v="Vinay"/>
    <s v="Ahmedabad"/>
    <x v="2"/>
    <x v="0"/>
    <n v="59322"/>
    <d v="2019-04-22T00:00:00"/>
    <s v="Brokerage"/>
    <s v="Renewal"/>
    <m/>
    <d v="2020-01-22T00:00:00"/>
  </r>
  <r>
    <s v="XYZ"/>
    <x v="276"/>
    <x v="0"/>
    <d v="2018-03-23T00:00:00"/>
    <d v="2020-09-22T00:00:00"/>
    <s v="Engineering"/>
    <n v="1"/>
    <s v="Vinay"/>
    <s v="Ahmedabad"/>
    <x v="1"/>
    <x v="2"/>
    <n v="26763.4"/>
    <d v="2019-12-23T00:00:00"/>
    <s v="Brokerage"/>
    <s v="Inception"/>
    <m/>
    <d v="2020-01-22T00:00:00"/>
  </r>
  <r>
    <s v="XYZ"/>
    <x v="276"/>
    <x v="0"/>
    <d v="2018-03-23T00:00:00"/>
    <d v="2020-09-22T00:00:00"/>
    <s v="Engineering"/>
    <n v="1"/>
    <s v="Vinay"/>
    <s v="Ahmedabad"/>
    <x v="1"/>
    <x v="2"/>
    <n v="26763.4"/>
    <d v="2020-03-23T00:00:00"/>
    <s v="Brokerage"/>
    <s v="Inception"/>
    <m/>
    <d v="2020-01-22T00:00:00"/>
  </r>
  <r>
    <s v="XYZ"/>
    <x v="276"/>
    <x v="0"/>
    <d v="2018-03-23T00:00:00"/>
    <d v="2020-09-22T00:00:00"/>
    <s v="Engineering"/>
    <n v="1"/>
    <s v="Vinay"/>
    <s v="Ahmedabad"/>
    <x v="1"/>
    <x v="2"/>
    <n v="26763.439999999999"/>
    <d v="2018-06-23T00:00:00"/>
    <s v="Brokerage"/>
    <s v="Inception"/>
    <m/>
    <d v="2020-01-22T00:00:00"/>
  </r>
  <r>
    <s v="XYZ"/>
    <x v="276"/>
    <x v="0"/>
    <d v="2018-03-23T00:00:00"/>
    <d v="2020-09-22T00:00:00"/>
    <s v="Engineering"/>
    <n v="1"/>
    <s v="Vinay"/>
    <s v="Ahmedabad"/>
    <x v="1"/>
    <x v="2"/>
    <n v="26763.439999999999"/>
    <d v="2018-09-23T00:00:00"/>
    <s v="Brokerage"/>
    <s v="Inception"/>
    <m/>
    <d v="2020-01-22T00:00:00"/>
  </r>
  <r>
    <s v="XYZ"/>
    <x v="276"/>
    <x v="0"/>
    <d v="2018-03-23T00:00:00"/>
    <d v="2020-09-22T00:00:00"/>
    <s v="Engineering"/>
    <n v="1"/>
    <s v="Vinay"/>
    <s v="Ahmedabad"/>
    <x v="1"/>
    <x v="2"/>
    <n v="26763.439999999999"/>
    <d v="2018-12-23T00:00:00"/>
    <s v="Brokerage"/>
    <s v="Inception"/>
    <m/>
    <d v="2020-01-22T00:00:00"/>
  </r>
  <r>
    <s v="XYZ"/>
    <x v="276"/>
    <x v="0"/>
    <d v="2018-03-23T00:00:00"/>
    <d v="2020-09-22T00:00:00"/>
    <s v="Engineering"/>
    <n v="1"/>
    <s v="Vinay"/>
    <s v="Ahmedabad"/>
    <x v="1"/>
    <x v="2"/>
    <n v="26763.439999999999"/>
    <d v="2019-03-23T00:00:00"/>
    <s v="Brokerage"/>
    <s v="Inception"/>
    <m/>
    <d v="2020-01-22T00:00:00"/>
  </r>
  <r>
    <s v="XYZ"/>
    <x v="276"/>
    <x v="0"/>
    <d v="2018-03-23T00:00:00"/>
    <d v="2020-09-22T00:00:00"/>
    <s v="Engineering"/>
    <n v="1"/>
    <s v="Vinay"/>
    <s v="Ahmedabad"/>
    <x v="1"/>
    <x v="2"/>
    <n v="26763.439999999999"/>
    <d v="2019-06-23T00:00:00"/>
    <s v="Brokerage"/>
    <s v="Inception"/>
    <m/>
    <d v="2020-01-22T00:00:00"/>
  </r>
  <r>
    <s v="XYZ"/>
    <x v="276"/>
    <x v="0"/>
    <d v="2018-03-23T00:00:00"/>
    <d v="2020-09-22T00:00:00"/>
    <s v="Engineering"/>
    <n v="1"/>
    <s v="Vinay"/>
    <s v="Ahmedabad"/>
    <x v="1"/>
    <x v="2"/>
    <n v="26763.439999999999"/>
    <d v="2019-09-23T00:00:00"/>
    <s v="Brokerage"/>
    <s v="Inception"/>
    <m/>
    <d v="2020-01-22T00:00:00"/>
  </r>
  <r>
    <s v="XYZ"/>
    <x v="276"/>
    <x v="0"/>
    <d v="2018-03-23T00:00:00"/>
    <d v="2020-09-22T00:00:00"/>
    <s v="Engineering"/>
    <n v="1"/>
    <s v="Vinay"/>
    <s v="Ahmedabad"/>
    <x v="1"/>
    <x v="2"/>
    <n v="39440.839999999997"/>
    <d v="2018-03-23T00:00:00"/>
    <s v="Brokerage"/>
    <s v="Inception"/>
    <m/>
    <d v="2020-01-22T00:00:00"/>
  </r>
  <r>
    <s v="XYZ"/>
    <x v="277"/>
    <x v="0"/>
    <d v="2018-08-09T00:00:00"/>
    <d v="2021-08-08T00:00:00"/>
    <s v="Engineering"/>
    <n v="1"/>
    <s v="Vinay"/>
    <s v="Ahmedabad"/>
    <x v="1"/>
    <x v="2"/>
    <n v="14274.76"/>
    <d v="2019-11-09T00:00:00"/>
    <s v="Brokerage"/>
    <s v="Inception"/>
    <m/>
    <d v="2020-01-22T00:00:00"/>
  </r>
  <r>
    <s v="XYZ"/>
    <x v="277"/>
    <x v="0"/>
    <d v="2018-08-09T00:00:00"/>
    <d v="2021-08-08T00:00:00"/>
    <s v="Engineering"/>
    <n v="1"/>
    <s v="Vinay"/>
    <s v="Ahmedabad"/>
    <x v="1"/>
    <x v="2"/>
    <n v="14274.76"/>
    <d v="2020-02-09T00:00:00"/>
    <s v="Brokerage"/>
    <s v="Inception"/>
    <m/>
    <d v="2020-01-22T00:00:00"/>
  </r>
  <r>
    <s v="XYZ"/>
    <x v="277"/>
    <x v="0"/>
    <d v="2018-08-09T00:00:00"/>
    <d v="2021-08-08T00:00:00"/>
    <s v="Engineering"/>
    <n v="1"/>
    <s v="Vinay"/>
    <s v="Ahmedabad"/>
    <x v="1"/>
    <x v="2"/>
    <n v="14274.76"/>
    <d v="2020-05-09T00:00:00"/>
    <s v="Brokerage"/>
    <s v="Inception"/>
    <m/>
    <d v="2020-01-22T00:00:00"/>
  </r>
  <r>
    <s v="XYZ"/>
    <x v="277"/>
    <x v="0"/>
    <d v="2018-08-09T00:00:00"/>
    <d v="2021-08-08T00:00:00"/>
    <s v="Engineering"/>
    <n v="1"/>
    <s v="Vinay"/>
    <s v="Ahmedabad"/>
    <x v="1"/>
    <x v="2"/>
    <n v="14274.76"/>
    <d v="2020-08-09T00:00:00"/>
    <s v="Brokerage"/>
    <s v="Inception"/>
    <m/>
    <d v="2020-01-22T00:00:00"/>
  </r>
  <r>
    <s v="XYZ"/>
    <x v="277"/>
    <x v="0"/>
    <d v="2018-08-09T00:00:00"/>
    <d v="2021-08-08T00:00:00"/>
    <s v="Engineering"/>
    <n v="1"/>
    <s v="Vinay"/>
    <s v="Ahmedabad"/>
    <x v="1"/>
    <x v="2"/>
    <n v="14274.76"/>
    <d v="2020-11-09T00:00:00"/>
    <s v="Brokerage"/>
    <s v="Inception"/>
    <m/>
    <d v="2020-01-22T00:00:00"/>
  </r>
  <r>
    <s v="XYZ"/>
    <x v="277"/>
    <x v="0"/>
    <d v="2018-08-09T00:00:00"/>
    <d v="2021-08-08T00:00:00"/>
    <s v="Engineering"/>
    <n v="1"/>
    <s v="Vinay"/>
    <s v="Ahmedabad"/>
    <x v="1"/>
    <x v="2"/>
    <n v="14274.76"/>
    <d v="2021-02-09T00:00:00"/>
    <s v="Brokerage"/>
    <s v="Inception"/>
    <m/>
    <d v="2020-01-22T00:00:00"/>
  </r>
  <r>
    <s v="XYZ"/>
    <x v="277"/>
    <x v="0"/>
    <d v="2018-08-09T00:00:00"/>
    <d v="2021-08-08T00:00:00"/>
    <s v="Engineering"/>
    <n v="1"/>
    <s v="Vinay"/>
    <s v="Ahmedabad"/>
    <x v="1"/>
    <x v="2"/>
    <n v="14274.76"/>
    <d v="2019-02-09T00:00:00"/>
    <s v="Brokerage"/>
    <s v="Inception"/>
    <m/>
    <d v="2020-01-22T00:00:00"/>
  </r>
  <r>
    <s v="XYZ"/>
    <x v="277"/>
    <x v="0"/>
    <d v="2018-08-09T00:00:00"/>
    <d v="2021-08-08T00:00:00"/>
    <s v="Engineering"/>
    <n v="1"/>
    <s v="Vinay"/>
    <s v="Ahmedabad"/>
    <x v="1"/>
    <x v="2"/>
    <n v="14274.76"/>
    <d v="2019-02-09T00:00:00"/>
    <s v="Brokerage"/>
    <s v="Inception"/>
    <m/>
    <d v="2020-01-22T00:00:00"/>
  </r>
  <r>
    <s v="XYZ"/>
    <x v="277"/>
    <x v="0"/>
    <d v="2018-08-09T00:00:00"/>
    <d v="2021-08-08T00:00:00"/>
    <s v="Engineering"/>
    <n v="1"/>
    <s v="Vinay"/>
    <s v="Ahmedabad"/>
    <x v="1"/>
    <x v="2"/>
    <n v="14274.76"/>
    <d v="2019-05-09T00:00:00"/>
    <s v="Brokerage"/>
    <s v="Inception"/>
    <m/>
    <d v="2020-01-22T00:00:00"/>
  </r>
  <r>
    <s v="XYZ"/>
    <x v="277"/>
    <x v="0"/>
    <d v="2018-08-09T00:00:00"/>
    <d v="2021-08-08T00:00:00"/>
    <s v="Engineering"/>
    <n v="1"/>
    <s v="Vinay"/>
    <s v="Ahmedabad"/>
    <x v="1"/>
    <x v="2"/>
    <n v="14274.76"/>
    <d v="2019-08-09T00:00:00"/>
    <s v="Brokerage"/>
    <s v="Inception"/>
    <m/>
    <d v="2020-01-22T00:00:00"/>
  </r>
  <r>
    <s v="XYZ"/>
    <x v="277"/>
    <x v="0"/>
    <d v="2018-08-09T00:00:00"/>
    <d v="2021-08-08T00:00:00"/>
    <s v="Engineering"/>
    <n v="1"/>
    <s v="Vinay"/>
    <s v="Ahmedabad"/>
    <x v="1"/>
    <x v="2"/>
    <n v="14274.8"/>
    <d v="2018-11-09T00:00:00"/>
    <s v="Brokerage"/>
    <s v="Inception"/>
    <m/>
    <d v="2020-01-22T00:00:00"/>
  </r>
  <r>
    <s v="XYZ"/>
    <x v="277"/>
    <x v="0"/>
    <d v="2018-08-09T00:00:00"/>
    <d v="2021-08-08T00:00:00"/>
    <s v="Engineering"/>
    <n v="1"/>
    <s v="Vinay"/>
    <s v="Ahmedabad"/>
    <x v="1"/>
    <x v="2"/>
    <n v="22539.08"/>
    <d v="2018-08-09T00:00:00"/>
    <s v="Brokerage"/>
    <s v="Inception"/>
    <m/>
    <d v="2020-01-22T00:00:00"/>
  </r>
  <r>
    <s v="XYZ"/>
    <x v="278"/>
    <x v="0"/>
    <d v="2018-12-13T00:00:00"/>
    <d v="2021-06-12T00:00:00"/>
    <s v="Engineering"/>
    <n v="1"/>
    <s v="Vinay"/>
    <s v="Ahmedabad"/>
    <x v="1"/>
    <x v="2"/>
    <n v="24072.23"/>
    <d v="2019-12-13T00:00:00"/>
    <s v="Brokerage"/>
    <s v="Inception"/>
    <m/>
    <d v="2020-01-22T00:00:00"/>
  </r>
  <r>
    <s v="XYZ"/>
    <x v="278"/>
    <x v="0"/>
    <d v="2018-12-13T00:00:00"/>
    <d v="2021-06-12T00:00:00"/>
    <s v="Engineering"/>
    <n v="1"/>
    <s v="Vinay"/>
    <s v="Ahmedabad"/>
    <x v="1"/>
    <x v="2"/>
    <n v="24072.23"/>
    <d v="2020-03-13T00:00:00"/>
    <s v="Brokerage"/>
    <s v="Inception"/>
    <m/>
    <d v="2020-01-22T00:00:00"/>
  </r>
  <r>
    <s v="XYZ"/>
    <x v="278"/>
    <x v="0"/>
    <d v="2018-12-13T00:00:00"/>
    <d v="2021-06-12T00:00:00"/>
    <s v="Engineering"/>
    <n v="1"/>
    <s v="Vinay"/>
    <s v="Ahmedabad"/>
    <x v="1"/>
    <x v="2"/>
    <n v="24072.23"/>
    <d v="2020-06-13T00:00:00"/>
    <s v="Brokerage"/>
    <s v="Inception"/>
    <m/>
    <d v="2020-01-22T00:00:00"/>
  </r>
  <r>
    <s v="XYZ"/>
    <x v="278"/>
    <x v="0"/>
    <d v="2018-12-13T00:00:00"/>
    <d v="2021-06-12T00:00:00"/>
    <s v="Engineering"/>
    <n v="1"/>
    <s v="Vinay"/>
    <s v="Ahmedabad"/>
    <x v="1"/>
    <x v="2"/>
    <n v="24072.23"/>
    <d v="2020-09-13T00:00:00"/>
    <s v="Brokerage"/>
    <s v="Inception"/>
    <m/>
    <d v="2020-01-22T00:00:00"/>
  </r>
  <r>
    <s v="XYZ"/>
    <x v="278"/>
    <x v="0"/>
    <d v="2018-12-13T00:00:00"/>
    <d v="2021-06-12T00:00:00"/>
    <s v="Engineering"/>
    <n v="1"/>
    <s v="Vinay"/>
    <s v="Ahmedabad"/>
    <x v="1"/>
    <x v="2"/>
    <n v="24072.23"/>
    <d v="2020-12-13T00:00:00"/>
    <s v="Brokerage"/>
    <s v="Inception"/>
    <m/>
    <d v="2020-01-22T00:00:00"/>
  </r>
  <r>
    <s v="XYZ"/>
    <x v="278"/>
    <x v="0"/>
    <d v="2018-12-13T00:00:00"/>
    <d v="2021-06-12T00:00:00"/>
    <s v="Engineering"/>
    <n v="1"/>
    <s v="Vinay"/>
    <s v="Ahmedabad"/>
    <x v="1"/>
    <x v="2"/>
    <n v="24072.23"/>
    <d v="2019-06-13T00:00:00"/>
    <s v="Brokerage"/>
    <s v="Inception"/>
    <m/>
    <d v="2020-01-22T00:00:00"/>
  </r>
  <r>
    <s v="XYZ"/>
    <x v="278"/>
    <x v="0"/>
    <d v="2018-12-13T00:00:00"/>
    <d v="2021-06-12T00:00:00"/>
    <s v="Engineering"/>
    <n v="1"/>
    <s v="Vinay"/>
    <s v="Ahmedabad"/>
    <x v="1"/>
    <x v="2"/>
    <n v="24072.23"/>
    <d v="2019-09-13T00:00:00"/>
    <s v="Brokerage"/>
    <s v="Inception"/>
    <m/>
    <d v="2020-01-22T00:00:00"/>
  </r>
  <r>
    <s v="XYZ"/>
    <x v="278"/>
    <x v="0"/>
    <d v="2018-12-13T00:00:00"/>
    <d v="2021-06-12T00:00:00"/>
    <s v="Engineering"/>
    <n v="1"/>
    <s v="Vinay"/>
    <s v="Ahmedabad"/>
    <x v="1"/>
    <x v="2"/>
    <n v="24072.26"/>
    <d v="2019-03-13T00:00:00"/>
    <s v="Brokerage"/>
    <s v="Inception"/>
    <m/>
    <d v="2020-01-22T00:00:00"/>
  </r>
  <r>
    <s v="XYZ"/>
    <x v="278"/>
    <x v="0"/>
    <d v="2018-12-13T00:00:00"/>
    <d v="2021-06-12T00:00:00"/>
    <s v="Engineering"/>
    <n v="1"/>
    <s v="Vinay"/>
    <s v="Ahmedabad"/>
    <x v="1"/>
    <x v="2"/>
    <n v="24072.26"/>
    <d v="2019-03-13T00:00:00"/>
    <s v="Brokerage"/>
    <s v="Inception"/>
    <m/>
    <d v="2020-01-22T00:00:00"/>
  </r>
  <r>
    <s v="XYZ"/>
    <x v="278"/>
    <x v="0"/>
    <d v="2018-12-13T00:00:00"/>
    <d v="2021-06-12T00:00:00"/>
    <s v="Engineering"/>
    <n v="1"/>
    <s v="Vinay"/>
    <s v="Ahmedabad"/>
    <x v="1"/>
    <x v="2"/>
    <n v="35521.53"/>
    <d v="2018-12-13T00:00:00"/>
    <s v="Brokerage"/>
    <s v="Inception"/>
    <m/>
    <d v="2020-01-22T00:00:00"/>
  </r>
  <r>
    <s v="XYZ"/>
    <x v="279"/>
    <x v="0"/>
    <d v="2018-12-11T00:00:00"/>
    <d v="2021-06-10T00:00:00"/>
    <s v="Engineering"/>
    <n v="1"/>
    <s v="Vinay"/>
    <s v="Ahmedabad"/>
    <x v="1"/>
    <x v="2"/>
    <n v="31816.79"/>
    <d v="2019-12-11T00:00:00"/>
    <s v="Brokerage"/>
    <s v="Inception"/>
    <m/>
    <d v="2020-01-22T00:00:00"/>
  </r>
  <r>
    <s v="XYZ"/>
    <x v="279"/>
    <x v="0"/>
    <d v="2018-12-11T00:00:00"/>
    <d v="2021-06-10T00:00:00"/>
    <s v="Engineering"/>
    <n v="1"/>
    <s v="Vinay"/>
    <s v="Ahmedabad"/>
    <x v="1"/>
    <x v="2"/>
    <n v="31816.79"/>
    <d v="2020-03-11T00:00:00"/>
    <s v="Brokerage"/>
    <s v="Inception"/>
    <m/>
    <d v="2020-01-22T00:00:00"/>
  </r>
  <r>
    <s v="XYZ"/>
    <x v="279"/>
    <x v="0"/>
    <d v="2018-12-11T00:00:00"/>
    <d v="2021-06-10T00:00:00"/>
    <s v="Engineering"/>
    <n v="1"/>
    <s v="Vinay"/>
    <s v="Ahmedabad"/>
    <x v="1"/>
    <x v="2"/>
    <n v="31816.79"/>
    <d v="2020-06-11T00:00:00"/>
    <s v="Brokerage"/>
    <s v="Inception"/>
    <m/>
    <d v="2020-01-22T00:00:00"/>
  </r>
  <r>
    <s v="XYZ"/>
    <x v="279"/>
    <x v="0"/>
    <d v="2018-12-11T00:00:00"/>
    <d v="2021-06-10T00:00:00"/>
    <s v="Engineering"/>
    <n v="1"/>
    <s v="Vinay"/>
    <s v="Ahmedabad"/>
    <x v="1"/>
    <x v="2"/>
    <n v="31816.79"/>
    <d v="2020-09-11T00:00:00"/>
    <s v="Brokerage"/>
    <s v="Inception"/>
    <m/>
    <d v="2020-01-22T00:00:00"/>
  </r>
  <r>
    <s v="XYZ"/>
    <x v="279"/>
    <x v="0"/>
    <d v="2018-12-11T00:00:00"/>
    <d v="2021-06-10T00:00:00"/>
    <s v="Engineering"/>
    <n v="1"/>
    <s v="Vinay"/>
    <s v="Ahmedabad"/>
    <x v="1"/>
    <x v="2"/>
    <n v="31816.79"/>
    <d v="2020-12-11T00:00:00"/>
    <s v="Brokerage"/>
    <s v="Inception"/>
    <m/>
    <d v="2020-01-22T00:00:00"/>
  </r>
  <r>
    <s v="XYZ"/>
    <x v="279"/>
    <x v="0"/>
    <d v="2018-12-11T00:00:00"/>
    <d v="2021-06-10T00:00:00"/>
    <s v="Engineering"/>
    <n v="1"/>
    <s v="Vinay"/>
    <s v="Ahmedabad"/>
    <x v="1"/>
    <x v="2"/>
    <n v="31816.79"/>
    <d v="2019-09-11T00:00:00"/>
    <s v="Brokerage"/>
    <s v="Inception"/>
    <m/>
    <d v="2020-01-22T00:00:00"/>
  </r>
  <r>
    <s v="XYZ"/>
    <x v="279"/>
    <x v="0"/>
    <d v="2018-12-11T00:00:00"/>
    <d v="2021-06-10T00:00:00"/>
    <s v="Engineering"/>
    <n v="1"/>
    <s v="Vinay"/>
    <s v="Ahmedabad"/>
    <x v="1"/>
    <x v="2"/>
    <n v="31816.79"/>
    <d v="2019-09-11T00:00:00"/>
    <s v="Brokerage"/>
    <s v="Inception"/>
    <m/>
    <d v="2020-01-22T00:00:00"/>
  </r>
  <r>
    <s v="XYZ"/>
    <x v="279"/>
    <x v="0"/>
    <d v="2018-12-11T00:00:00"/>
    <d v="2021-06-10T00:00:00"/>
    <s v="Engineering"/>
    <n v="1"/>
    <s v="Vinay"/>
    <s v="Ahmedabad"/>
    <x v="1"/>
    <x v="2"/>
    <n v="31816.83"/>
    <d v="2019-03-11T00:00:00"/>
    <s v="Brokerage"/>
    <s v="Inception"/>
    <m/>
    <d v="2020-01-22T00:00:00"/>
  </r>
  <r>
    <s v="XYZ"/>
    <x v="279"/>
    <x v="0"/>
    <d v="2018-12-11T00:00:00"/>
    <d v="2021-06-10T00:00:00"/>
    <s v="Engineering"/>
    <n v="1"/>
    <s v="Vinay"/>
    <s v="Ahmedabad"/>
    <x v="1"/>
    <x v="2"/>
    <n v="31816.83"/>
    <d v="2019-03-11T00:00:00"/>
    <s v="Brokerage"/>
    <s v="Inception"/>
    <m/>
    <d v="2020-01-22T00:00:00"/>
  </r>
  <r>
    <s v="XYZ"/>
    <x v="279"/>
    <x v="0"/>
    <d v="2018-12-11T00:00:00"/>
    <d v="2021-06-10T00:00:00"/>
    <s v="Engineering"/>
    <n v="1"/>
    <s v="Vinay"/>
    <s v="Ahmedabad"/>
    <x v="1"/>
    <x v="2"/>
    <n v="31816.83"/>
    <d v="2019-03-11T00:00:00"/>
    <s v="Brokerage"/>
    <s v="Inception"/>
    <m/>
    <d v="2020-01-22T00:00:00"/>
  </r>
  <r>
    <s v="XYZ"/>
    <x v="279"/>
    <x v="0"/>
    <d v="2018-12-11T00:00:00"/>
    <d v="2021-06-10T00:00:00"/>
    <s v="Engineering"/>
    <n v="1"/>
    <s v="Vinay"/>
    <s v="Ahmedabad"/>
    <x v="1"/>
    <x v="2"/>
    <n v="31816.83"/>
    <d v="2019-06-11T00:00:00"/>
    <s v="Brokerage"/>
    <s v="Inception"/>
    <m/>
    <d v="2020-01-22T00:00:00"/>
  </r>
  <r>
    <s v="XYZ"/>
    <x v="279"/>
    <x v="0"/>
    <d v="2018-12-11T00:00:00"/>
    <d v="2021-06-10T00:00:00"/>
    <s v="Engineering"/>
    <n v="1"/>
    <s v="Vinay"/>
    <s v="Ahmedabad"/>
    <x v="1"/>
    <x v="2"/>
    <n v="31816.83"/>
    <d v="2019-06-11T00:00:00"/>
    <s v="Brokerage"/>
    <s v="Inception"/>
    <m/>
    <d v="2020-01-22T00:00:00"/>
  </r>
  <r>
    <s v="XYZ"/>
    <x v="279"/>
    <x v="0"/>
    <d v="2018-12-11T00:00:00"/>
    <d v="2021-06-10T00:00:00"/>
    <s v="Engineering"/>
    <n v="1"/>
    <s v="Vinay"/>
    <s v="Ahmedabad"/>
    <x v="1"/>
    <x v="2"/>
    <n v="46888.34"/>
    <d v="2018-12-11T00:00:00"/>
    <s v="Brokerage"/>
    <s v="Inception"/>
    <m/>
    <d v="2020-01-22T00:00:00"/>
  </r>
  <r>
    <s v="XYZ"/>
    <x v="279"/>
    <x v="0"/>
    <d v="2018-12-11T00:00:00"/>
    <d v="2021-06-10T00:00:00"/>
    <s v="Engineering"/>
    <n v="1"/>
    <s v="Vinay"/>
    <s v="Ahmedabad"/>
    <x v="1"/>
    <x v="2"/>
    <n v="46888.34"/>
    <d v="2018-12-11T00:00:00"/>
    <s v="Brokerage"/>
    <s v="Inception"/>
    <m/>
    <d v="2020-01-22T00:00:00"/>
  </r>
  <r>
    <s v="XYZ"/>
    <x v="279"/>
    <x v="0"/>
    <d v="2018-12-11T00:00:00"/>
    <d v="2021-06-10T00:00:00"/>
    <s v="Engineering"/>
    <n v="1"/>
    <s v="Vinay"/>
    <s v="Ahmedabad"/>
    <x v="1"/>
    <x v="2"/>
    <n v="46888.34"/>
    <d v="2018-12-11T00:00:00"/>
    <s v="Brokerage"/>
    <s v="Inception"/>
    <m/>
    <d v="2020-01-22T00:00:00"/>
  </r>
  <r>
    <s v="XYZ"/>
    <x v="279"/>
    <x v="0"/>
    <d v="2018-12-11T00:00:00"/>
    <d v="2021-06-10T00:00:00"/>
    <s v="Engineering"/>
    <n v="1"/>
    <s v="Vinay"/>
    <s v="Ahmedabad"/>
    <x v="1"/>
    <x v="2"/>
    <n v="46888.34"/>
    <d v="2018-12-11T00:00:00"/>
    <s v="Brokerage"/>
    <s v="Inception"/>
    <m/>
    <d v="2020-01-22T00:00:00"/>
  </r>
  <r>
    <s v="XYZ"/>
    <x v="280"/>
    <x v="0"/>
    <d v="2018-07-14T00:00:00"/>
    <d v="2022-01-13T00:00:00"/>
    <s v="Engineering"/>
    <n v="1"/>
    <s v="Vinay"/>
    <s v="Ahmedabad"/>
    <x v="1"/>
    <x v="2"/>
    <n v="5712.04"/>
    <d v="2019-10-14T00:00:00"/>
    <s v="Brokerage"/>
    <s v="Inception"/>
    <m/>
    <d v="2020-01-22T00:00:00"/>
  </r>
  <r>
    <s v="XYZ"/>
    <x v="280"/>
    <x v="0"/>
    <d v="2018-07-14T00:00:00"/>
    <d v="2022-01-13T00:00:00"/>
    <s v="Engineering"/>
    <n v="1"/>
    <s v="Vinay"/>
    <s v="Ahmedabad"/>
    <x v="1"/>
    <x v="2"/>
    <n v="5712.04"/>
    <d v="2020-01-14T00:00:00"/>
    <s v="Brokerage"/>
    <s v="Inception"/>
    <m/>
    <d v="2020-01-22T00:00:00"/>
  </r>
  <r>
    <s v="XYZ"/>
    <x v="280"/>
    <x v="0"/>
    <d v="2018-07-14T00:00:00"/>
    <d v="2022-01-13T00:00:00"/>
    <s v="Engineering"/>
    <n v="1"/>
    <s v="Vinay"/>
    <s v="Ahmedabad"/>
    <x v="1"/>
    <x v="2"/>
    <n v="5712.04"/>
    <d v="2020-04-14T00:00:00"/>
    <s v="Brokerage"/>
    <s v="Inception"/>
    <m/>
    <d v="2020-01-22T00:00:00"/>
  </r>
  <r>
    <s v="XYZ"/>
    <x v="280"/>
    <x v="0"/>
    <d v="2018-07-14T00:00:00"/>
    <d v="2022-01-13T00:00:00"/>
    <s v="Engineering"/>
    <n v="1"/>
    <s v="Vinay"/>
    <s v="Ahmedabad"/>
    <x v="1"/>
    <x v="2"/>
    <n v="5712.04"/>
    <d v="2020-07-14T00:00:00"/>
    <s v="Brokerage"/>
    <s v="Inception"/>
    <m/>
    <d v="2020-01-22T00:00:00"/>
  </r>
  <r>
    <s v="XYZ"/>
    <x v="280"/>
    <x v="0"/>
    <d v="2018-07-14T00:00:00"/>
    <d v="2022-01-13T00:00:00"/>
    <s v="Engineering"/>
    <n v="1"/>
    <s v="Vinay"/>
    <s v="Ahmedabad"/>
    <x v="1"/>
    <x v="2"/>
    <n v="5712.04"/>
    <d v="2020-10-14T00:00:00"/>
    <s v="Brokerage"/>
    <s v="Inception"/>
    <m/>
    <d v="2020-01-22T00:00:00"/>
  </r>
  <r>
    <s v="XYZ"/>
    <x v="280"/>
    <x v="0"/>
    <d v="2018-07-14T00:00:00"/>
    <d v="2022-01-13T00:00:00"/>
    <s v="Engineering"/>
    <n v="1"/>
    <s v="Vinay"/>
    <s v="Ahmedabad"/>
    <x v="1"/>
    <x v="2"/>
    <n v="5712.04"/>
    <d v="2021-01-14T00:00:00"/>
    <s v="Brokerage"/>
    <s v="Inception"/>
    <m/>
    <d v="2020-01-22T00:00:00"/>
  </r>
  <r>
    <s v="XYZ"/>
    <x v="280"/>
    <x v="0"/>
    <d v="2018-07-14T00:00:00"/>
    <d v="2022-01-13T00:00:00"/>
    <s v="Engineering"/>
    <n v="1"/>
    <s v="Vinay"/>
    <s v="Ahmedabad"/>
    <x v="1"/>
    <x v="2"/>
    <n v="5712.04"/>
    <d v="2021-04-14T00:00:00"/>
    <s v="Brokerage"/>
    <s v="Inception"/>
    <m/>
    <d v="2020-01-22T00:00:00"/>
  </r>
  <r>
    <s v="XYZ"/>
    <x v="280"/>
    <x v="0"/>
    <d v="2018-07-14T00:00:00"/>
    <d v="2022-01-13T00:00:00"/>
    <s v="Engineering"/>
    <n v="1"/>
    <s v="Vinay"/>
    <s v="Ahmedabad"/>
    <x v="1"/>
    <x v="2"/>
    <n v="5712.04"/>
    <d v="2021-07-14T00:00:00"/>
    <s v="Brokerage"/>
    <s v="Inception"/>
    <m/>
    <d v="2020-01-22T00:00:00"/>
  </r>
  <r>
    <s v="XYZ"/>
    <x v="280"/>
    <x v="0"/>
    <d v="2018-07-14T00:00:00"/>
    <d v="2022-01-13T00:00:00"/>
    <s v="Engineering"/>
    <n v="1"/>
    <s v="Vinay"/>
    <s v="Ahmedabad"/>
    <x v="1"/>
    <x v="2"/>
    <n v="5712.04"/>
    <d v="2021-07-14T00:00:00"/>
    <s v="Brokerage"/>
    <s v="Inception"/>
    <m/>
    <d v="2020-01-22T00:00:00"/>
  </r>
  <r>
    <s v="XYZ"/>
    <x v="280"/>
    <x v="0"/>
    <d v="2018-07-14T00:00:00"/>
    <d v="2022-01-13T00:00:00"/>
    <s v="Engineering"/>
    <n v="1"/>
    <s v="Vinay"/>
    <s v="Ahmedabad"/>
    <x v="1"/>
    <x v="2"/>
    <n v="5712.04"/>
    <d v="2021-07-14T00:00:00"/>
    <s v="Brokerage"/>
    <s v="Inception"/>
    <m/>
    <d v="2020-01-22T00:00:00"/>
  </r>
  <r>
    <s v="XYZ"/>
    <x v="280"/>
    <x v="0"/>
    <d v="2018-07-14T00:00:00"/>
    <d v="2022-01-13T00:00:00"/>
    <s v="Engineering"/>
    <n v="1"/>
    <s v="Vinay"/>
    <s v="Ahmedabad"/>
    <x v="1"/>
    <x v="2"/>
    <n v="5712.04"/>
    <d v="2021-07-14T00:00:00"/>
    <s v="Brokerage"/>
    <s v="Inception"/>
    <m/>
    <d v="2020-01-22T00:00:00"/>
  </r>
  <r>
    <s v="XYZ"/>
    <x v="280"/>
    <x v="0"/>
    <d v="2018-07-14T00:00:00"/>
    <d v="2022-01-13T00:00:00"/>
    <s v="Engineering"/>
    <n v="1"/>
    <s v="Vinay"/>
    <s v="Ahmedabad"/>
    <x v="1"/>
    <x v="2"/>
    <n v="5712.04"/>
    <d v="2018-10-14T00:00:00"/>
    <s v="Brokerage"/>
    <s v="Inception"/>
    <m/>
    <d v="2020-01-22T00:00:00"/>
  </r>
  <r>
    <s v="XYZ"/>
    <x v="280"/>
    <x v="0"/>
    <d v="2018-07-14T00:00:00"/>
    <d v="2022-01-13T00:00:00"/>
    <s v="Engineering"/>
    <n v="1"/>
    <s v="Vinay"/>
    <s v="Ahmedabad"/>
    <x v="1"/>
    <x v="2"/>
    <n v="5712.04"/>
    <d v="2019-01-14T00:00:00"/>
    <s v="Brokerage"/>
    <s v="Inception"/>
    <m/>
    <d v="2020-01-22T00:00:00"/>
  </r>
  <r>
    <s v="XYZ"/>
    <x v="280"/>
    <x v="0"/>
    <d v="2018-07-14T00:00:00"/>
    <d v="2022-01-13T00:00:00"/>
    <s v="Engineering"/>
    <n v="1"/>
    <s v="Vinay"/>
    <s v="Ahmedabad"/>
    <x v="1"/>
    <x v="2"/>
    <n v="5712.04"/>
    <d v="2019-04-14T00:00:00"/>
    <s v="Brokerage"/>
    <s v="Inception"/>
    <m/>
    <d v="2020-01-22T00:00:00"/>
  </r>
  <r>
    <s v="XYZ"/>
    <x v="280"/>
    <x v="0"/>
    <d v="2018-07-14T00:00:00"/>
    <d v="2022-01-13T00:00:00"/>
    <s v="Engineering"/>
    <n v="1"/>
    <s v="Vinay"/>
    <s v="Ahmedabad"/>
    <x v="1"/>
    <x v="2"/>
    <n v="5712.04"/>
    <d v="2019-07-14T00:00:00"/>
    <s v="Brokerage"/>
    <s v="Inception"/>
    <m/>
    <d v="2020-01-22T00:00:00"/>
  </r>
  <r>
    <s v="XYZ"/>
    <x v="280"/>
    <x v="0"/>
    <d v="2018-07-14T00:00:00"/>
    <d v="2022-01-13T00:00:00"/>
    <s v="Engineering"/>
    <n v="1"/>
    <s v="Vinay"/>
    <s v="Ahmedabad"/>
    <x v="1"/>
    <x v="2"/>
    <n v="15832.08"/>
    <d v="2018-07-14T00:00:00"/>
    <s v="Brokerage"/>
    <s v="Inception"/>
    <m/>
    <d v="2020-01-22T00:00:00"/>
  </r>
  <r>
    <s v="XYZ"/>
    <x v="281"/>
    <x v="0"/>
    <d v="2018-07-14T00:00:00"/>
    <d v="2022-01-13T00:00:00"/>
    <s v="Engineering"/>
    <n v="1"/>
    <s v="Vinay"/>
    <s v="Ahmedabad"/>
    <x v="1"/>
    <x v="2"/>
    <n v="11198.33"/>
    <d v="2021-07-14T00:00:00"/>
    <s v="Brokerage"/>
    <s v="Inception"/>
    <m/>
    <d v="2020-01-22T00:00:00"/>
  </r>
  <r>
    <s v="XYZ"/>
    <x v="281"/>
    <x v="0"/>
    <d v="2018-07-14T00:00:00"/>
    <d v="2022-01-13T00:00:00"/>
    <s v="Engineering"/>
    <n v="1"/>
    <s v="Vinay"/>
    <s v="Ahmedabad"/>
    <x v="1"/>
    <x v="2"/>
    <n v="11279.55"/>
    <d v="2020-01-14T00:00:00"/>
    <s v="Brokerage"/>
    <s v="Inception"/>
    <m/>
    <d v="2020-01-22T00:00:00"/>
  </r>
  <r>
    <s v="XYZ"/>
    <x v="281"/>
    <x v="0"/>
    <d v="2018-07-14T00:00:00"/>
    <d v="2022-01-13T00:00:00"/>
    <s v="Engineering"/>
    <n v="1"/>
    <s v="Vinay"/>
    <s v="Ahmedabad"/>
    <x v="1"/>
    <x v="2"/>
    <n v="11279.55"/>
    <d v="2020-04-14T00:00:00"/>
    <s v="Brokerage"/>
    <s v="Inception"/>
    <m/>
    <d v="2020-01-22T00:00:00"/>
  </r>
  <r>
    <s v="XYZ"/>
    <x v="281"/>
    <x v="0"/>
    <d v="2018-07-14T00:00:00"/>
    <d v="2022-01-13T00:00:00"/>
    <s v="Engineering"/>
    <n v="1"/>
    <s v="Vinay"/>
    <s v="Ahmedabad"/>
    <x v="1"/>
    <x v="2"/>
    <n v="11279.55"/>
    <d v="2020-07-14T00:00:00"/>
    <s v="Brokerage"/>
    <s v="Inception"/>
    <m/>
    <d v="2020-01-22T00:00:00"/>
  </r>
  <r>
    <s v="XYZ"/>
    <x v="281"/>
    <x v="0"/>
    <d v="2018-07-14T00:00:00"/>
    <d v="2022-01-13T00:00:00"/>
    <s v="Engineering"/>
    <n v="1"/>
    <s v="Vinay"/>
    <s v="Ahmedabad"/>
    <x v="1"/>
    <x v="2"/>
    <n v="11279.55"/>
    <d v="2020-10-14T00:00:00"/>
    <s v="Brokerage"/>
    <s v="Inception"/>
    <m/>
    <d v="2020-01-22T00:00:00"/>
  </r>
  <r>
    <s v="XYZ"/>
    <x v="281"/>
    <x v="0"/>
    <d v="2018-07-14T00:00:00"/>
    <d v="2022-01-13T00:00:00"/>
    <s v="Engineering"/>
    <n v="1"/>
    <s v="Vinay"/>
    <s v="Ahmedabad"/>
    <x v="1"/>
    <x v="2"/>
    <n v="11279.55"/>
    <d v="2021-01-14T00:00:00"/>
    <s v="Brokerage"/>
    <s v="Inception"/>
    <m/>
    <d v="2020-01-22T00:00:00"/>
  </r>
  <r>
    <s v="XYZ"/>
    <x v="281"/>
    <x v="0"/>
    <d v="2018-07-14T00:00:00"/>
    <d v="2022-01-13T00:00:00"/>
    <s v="Engineering"/>
    <n v="1"/>
    <s v="Vinay"/>
    <s v="Ahmedabad"/>
    <x v="1"/>
    <x v="2"/>
    <n v="11279.55"/>
    <d v="2021-04-14T00:00:00"/>
    <s v="Brokerage"/>
    <s v="Inception"/>
    <m/>
    <d v="2020-01-22T00:00:00"/>
  </r>
  <r>
    <s v="XYZ"/>
    <x v="281"/>
    <x v="0"/>
    <d v="2018-07-14T00:00:00"/>
    <d v="2022-01-13T00:00:00"/>
    <s v="Engineering"/>
    <n v="1"/>
    <s v="Vinay"/>
    <s v="Ahmedabad"/>
    <x v="1"/>
    <x v="2"/>
    <n v="11279.55"/>
    <d v="2018-10-14T00:00:00"/>
    <s v="Brokerage"/>
    <s v="Inception"/>
    <m/>
    <d v="2020-01-22T00:00:00"/>
  </r>
  <r>
    <s v="XYZ"/>
    <x v="281"/>
    <x v="0"/>
    <d v="2018-07-14T00:00:00"/>
    <d v="2022-01-13T00:00:00"/>
    <s v="Engineering"/>
    <n v="1"/>
    <s v="Vinay"/>
    <s v="Ahmedabad"/>
    <x v="1"/>
    <x v="2"/>
    <n v="11279.55"/>
    <d v="2019-01-14T00:00:00"/>
    <s v="Brokerage"/>
    <s v="Inception"/>
    <m/>
    <d v="2020-01-22T00:00:00"/>
  </r>
  <r>
    <s v="XYZ"/>
    <x v="281"/>
    <x v="0"/>
    <d v="2018-07-14T00:00:00"/>
    <d v="2022-01-13T00:00:00"/>
    <s v="Engineering"/>
    <n v="1"/>
    <s v="Vinay"/>
    <s v="Ahmedabad"/>
    <x v="1"/>
    <x v="2"/>
    <n v="11279.55"/>
    <d v="2019-04-14T00:00:00"/>
    <s v="Brokerage"/>
    <s v="Inception"/>
    <m/>
    <d v="2020-01-22T00:00:00"/>
  </r>
  <r>
    <s v="XYZ"/>
    <x v="281"/>
    <x v="0"/>
    <d v="2018-07-14T00:00:00"/>
    <d v="2022-01-13T00:00:00"/>
    <s v="Engineering"/>
    <n v="1"/>
    <s v="Vinay"/>
    <s v="Ahmedabad"/>
    <x v="1"/>
    <x v="2"/>
    <n v="11279.55"/>
    <d v="2019-07-14T00:00:00"/>
    <s v="Brokerage"/>
    <s v="Inception"/>
    <m/>
    <d v="2020-01-22T00:00:00"/>
  </r>
  <r>
    <s v="XYZ"/>
    <x v="281"/>
    <x v="0"/>
    <d v="2018-07-14T00:00:00"/>
    <d v="2022-01-13T00:00:00"/>
    <s v="Engineering"/>
    <n v="1"/>
    <s v="Vinay"/>
    <s v="Ahmedabad"/>
    <x v="1"/>
    <x v="2"/>
    <n v="11279.55"/>
    <d v="2019-10-14T00:00:00"/>
    <s v="Brokerage"/>
    <s v="Inception"/>
    <m/>
    <d v="2020-01-22T00:00:00"/>
  </r>
  <r>
    <s v="XYZ"/>
    <x v="281"/>
    <x v="0"/>
    <d v="2018-07-14T00:00:00"/>
    <d v="2022-01-13T00:00:00"/>
    <s v="Engineering"/>
    <n v="1"/>
    <s v="Vinay"/>
    <s v="Ahmedabad"/>
    <x v="1"/>
    <x v="2"/>
    <n v="27256.2"/>
    <d v="2018-07-14T00:00:00"/>
    <s v="Brokerage"/>
    <s v="Inception"/>
    <m/>
    <d v="2020-01-22T00:00:00"/>
  </r>
  <r>
    <s v="XYZ"/>
    <x v="282"/>
    <x v="0"/>
    <d v="2018-12-14T00:00:00"/>
    <d v="2021-06-13T00:00:00"/>
    <s v="Engineering"/>
    <n v="1"/>
    <s v="Vinay"/>
    <s v="Ahmedabad"/>
    <x v="1"/>
    <x v="2"/>
    <n v="2426.0300000000002"/>
    <d v="2020-12-14T00:00:00"/>
    <s v="Brokerage"/>
    <s v="Inception"/>
    <m/>
    <d v="2020-01-22T00:00:00"/>
  </r>
  <r>
    <s v="XYZ"/>
    <x v="282"/>
    <x v="0"/>
    <d v="2018-12-14T00:00:00"/>
    <d v="2021-06-13T00:00:00"/>
    <s v="Engineering"/>
    <n v="1"/>
    <s v="Vinay"/>
    <s v="Ahmedabad"/>
    <x v="1"/>
    <x v="2"/>
    <n v="2426.06"/>
    <d v="2019-12-14T00:00:00"/>
    <s v="Brokerage"/>
    <s v="Inception"/>
    <m/>
    <d v="2020-01-22T00:00:00"/>
  </r>
  <r>
    <s v="XYZ"/>
    <x v="282"/>
    <x v="0"/>
    <d v="2018-12-14T00:00:00"/>
    <d v="2021-06-13T00:00:00"/>
    <s v="Engineering"/>
    <n v="1"/>
    <s v="Vinay"/>
    <s v="Ahmedabad"/>
    <x v="1"/>
    <x v="2"/>
    <n v="2426.06"/>
    <d v="2020-03-14T00:00:00"/>
    <s v="Brokerage"/>
    <s v="Inception"/>
    <m/>
    <d v="2020-01-22T00:00:00"/>
  </r>
  <r>
    <s v="XYZ"/>
    <x v="282"/>
    <x v="0"/>
    <d v="2018-12-14T00:00:00"/>
    <d v="2021-06-13T00:00:00"/>
    <s v="Engineering"/>
    <n v="1"/>
    <s v="Vinay"/>
    <s v="Ahmedabad"/>
    <x v="1"/>
    <x v="2"/>
    <n v="2426.06"/>
    <d v="2020-06-14T00:00:00"/>
    <s v="Brokerage"/>
    <s v="Inception"/>
    <m/>
    <d v="2020-01-22T00:00:00"/>
  </r>
  <r>
    <s v="XYZ"/>
    <x v="282"/>
    <x v="0"/>
    <d v="2018-12-14T00:00:00"/>
    <d v="2021-06-13T00:00:00"/>
    <s v="Engineering"/>
    <n v="1"/>
    <s v="Vinay"/>
    <s v="Ahmedabad"/>
    <x v="1"/>
    <x v="2"/>
    <n v="2426.06"/>
    <d v="2020-09-14T00:00:00"/>
    <s v="Brokerage"/>
    <s v="Inception"/>
    <m/>
    <d v="2020-01-22T00:00:00"/>
  </r>
  <r>
    <s v="XYZ"/>
    <x v="282"/>
    <x v="0"/>
    <d v="2018-12-14T00:00:00"/>
    <d v="2021-06-13T00:00:00"/>
    <s v="Engineering"/>
    <n v="1"/>
    <s v="Vinay"/>
    <s v="Ahmedabad"/>
    <x v="1"/>
    <x v="2"/>
    <n v="2426.06"/>
    <d v="2019-03-14T00:00:00"/>
    <s v="Brokerage"/>
    <s v="Inception"/>
    <m/>
    <d v="2020-01-22T00:00:00"/>
  </r>
  <r>
    <s v="XYZ"/>
    <x v="282"/>
    <x v="0"/>
    <d v="2018-12-14T00:00:00"/>
    <d v="2021-06-13T00:00:00"/>
    <s v="Engineering"/>
    <n v="1"/>
    <s v="Vinay"/>
    <s v="Ahmedabad"/>
    <x v="1"/>
    <x v="2"/>
    <n v="2426.06"/>
    <d v="2019-06-14T00:00:00"/>
    <s v="Brokerage"/>
    <s v="Inception"/>
    <m/>
    <d v="2020-01-22T00:00:00"/>
  </r>
  <r>
    <s v="XYZ"/>
    <x v="282"/>
    <x v="0"/>
    <d v="2018-12-14T00:00:00"/>
    <d v="2021-06-13T00:00:00"/>
    <s v="Engineering"/>
    <n v="1"/>
    <s v="Vinay"/>
    <s v="Ahmedabad"/>
    <x v="1"/>
    <x v="2"/>
    <n v="2426.06"/>
    <d v="2019-09-14T00:00:00"/>
    <s v="Brokerage"/>
    <s v="Inception"/>
    <m/>
    <d v="2020-01-22T00:00:00"/>
  </r>
  <r>
    <s v="XYZ"/>
    <x v="282"/>
    <x v="0"/>
    <d v="2018-12-14T00:00:00"/>
    <d v="2021-06-13T00:00:00"/>
    <s v="Engineering"/>
    <n v="1"/>
    <s v="Vinay"/>
    <s v="Ahmedabad"/>
    <x v="1"/>
    <x v="2"/>
    <n v="6203.49"/>
    <d v="2018-12-14T00:00:00"/>
    <s v="Brokerage"/>
    <s v="Inception"/>
    <m/>
    <d v="2020-01-22T00:00:00"/>
  </r>
  <r>
    <s v="XYZ"/>
    <x v="283"/>
    <x v="0"/>
    <d v="2019-06-26T00:00:00"/>
    <d v="2020-06-25T00:00:00"/>
    <s v="Fire"/>
    <n v="11"/>
    <s v="Raju Kumar"/>
    <s v="Ahmedabad"/>
    <x v="1"/>
    <x v="2"/>
    <n v="137712.39000000001"/>
    <d v="2019-06-26T00:00:00"/>
    <s v="Brokerage"/>
    <s v="Inception"/>
    <m/>
    <d v="2020-01-22T00:00:00"/>
  </r>
  <r>
    <s v="XYZ"/>
    <x v="284"/>
    <x v="0"/>
    <d v="2019-02-28T00:00:00"/>
    <d v="2019-05-27T00:00:00"/>
    <s v="Engineering"/>
    <n v="1"/>
    <s v="Vinay"/>
    <s v="Ahmedabad"/>
    <x v="1"/>
    <x v="2"/>
    <n v="21929.45"/>
    <d v="2019-03-01T00:00:00"/>
    <s v="Brokerage"/>
    <s v="Renewal"/>
    <m/>
    <d v="2020-01-22T00:00:00"/>
  </r>
  <r>
    <s v="XYZ"/>
    <x v="285"/>
    <x v="1"/>
    <d v="2016-08-29T00:00:00"/>
    <d v="2019-02-28T00:00:00"/>
    <s v="Engineering"/>
    <n v="1"/>
    <s v="Vinay"/>
    <s v="Ahmedabad"/>
    <x v="1"/>
    <x v="2"/>
    <n v="55777.3"/>
    <d v="2016-08-29T00:00:00"/>
    <s v="Brokerage"/>
    <s v="Inception"/>
    <m/>
    <d v="2020-01-22T00:00:00"/>
  </r>
  <r>
    <s v="XYZ"/>
    <x v="286"/>
    <x v="1"/>
    <d v="2016-08-26T00:00:00"/>
    <d v="2018-08-25T00:00:00"/>
    <s v="Engineering"/>
    <n v="1"/>
    <s v="Vinay"/>
    <s v="Ahmedabad"/>
    <x v="1"/>
    <x v="2"/>
    <n v="101109.75"/>
    <d v="2018-08-25T00:00:00"/>
    <s v="Brokerage"/>
    <s v="Lapse"/>
    <s v="NOLN - No Longer Needed"/>
    <d v="2020-01-22T00:00:00"/>
  </r>
  <r>
    <s v="XYZ"/>
    <x v="287"/>
    <x v="0"/>
    <d v="2016-09-23T00:00:00"/>
    <d v="2019-09-22T00:00:00"/>
    <s v="Engineering"/>
    <n v="1"/>
    <s v="Vinay"/>
    <s v="Ahmedabad"/>
    <x v="1"/>
    <x v="1"/>
    <n v="31589.25"/>
    <d v="2017-12-23T00:00:00"/>
    <s v="Brokerage"/>
    <s v="Endorsement"/>
    <m/>
    <d v="2020-01-22T00:00:00"/>
  </r>
  <r>
    <s v="XYZ"/>
    <x v="287"/>
    <x v="0"/>
    <d v="2016-09-23T00:00:00"/>
    <d v="2019-09-22T00:00:00"/>
    <s v="Engineering"/>
    <n v="1"/>
    <s v="Vinay"/>
    <s v="Ahmedabad"/>
    <x v="1"/>
    <x v="1"/>
    <n v="31589.25"/>
    <d v="2018-03-23T00:00:00"/>
    <s v="Brokerage"/>
    <s v="Endorsement"/>
    <m/>
    <d v="2020-01-22T00:00:00"/>
  </r>
  <r>
    <s v="XYZ"/>
    <x v="287"/>
    <x v="0"/>
    <d v="2016-09-23T00:00:00"/>
    <d v="2019-09-22T00:00:00"/>
    <s v="Engineering"/>
    <n v="1"/>
    <s v="Vinay"/>
    <s v="Ahmedabad"/>
    <x v="1"/>
    <x v="1"/>
    <n v="31589.25"/>
    <d v="2018-06-23T00:00:00"/>
    <s v="Brokerage"/>
    <s v="Endorsement"/>
    <m/>
    <d v="2020-01-22T00:00:00"/>
  </r>
  <r>
    <s v="XYZ"/>
    <x v="287"/>
    <x v="0"/>
    <d v="2016-09-23T00:00:00"/>
    <d v="2019-09-22T00:00:00"/>
    <s v="Engineering"/>
    <n v="1"/>
    <s v="Vinay"/>
    <s v="Ahmedabad"/>
    <x v="1"/>
    <x v="1"/>
    <n v="31589.25"/>
    <d v="2018-09-23T00:00:00"/>
    <s v="Brokerage"/>
    <s v="Endorsement"/>
    <m/>
    <d v="2020-01-22T00:00:00"/>
  </r>
  <r>
    <s v="XYZ"/>
    <x v="287"/>
    <x v="0"/>
    <d v="2016-09-23T00:00:00"/>
    <d v="2019-09-22T00:00:00"/>
    <s v="Engineering"/>
    <n v="1"/>
    <s v="Vinay"/>
    <s v="Ahmedabad"/>
    <x v="1"/>
    <x v="1"/>
    <n v="31589.25"/>
    <d v="2018-12-23T00:00:00"/>
    <s v="Brokerage"/>
    <s v="Endorsement"/>
    <m/>
    <d v="2020-01-22T00:00:00"/>
  </r>
  <r>
    <s v="XYZ"/>
    <x v="287"/>
    <x v="0"/>
    <d v="2016-09-23T00:00:00"/>
    <d v="2019-09-22T00:00:00"/>
    <s v="Engineering"/>
    <n v="1"/>
    <s v="Vinay"/>
    <s v="Ahmedabad"/>
    <x v="1"/>
    <x v="1"/>
    <n v="31589.25"/>
    <d v="2019-03-23T00:00:00"/>
    <s v="Brokerage"/>
    <s v="Endorsement"/>
    <m/>
    <d v="2020-01-22T00:00:00"/>
  </r>
  <r>
    <s v="XYZ"/>
    <x v="287"/>
    <x v="0"/>
    <d v="2016-09-23T00:00:00"/>
    <d v="2019-09-22T00:00:00"/>
    <s v="Engineering"/>
    <n v="1"/>
    <s v="Vinay"/>
    <s v="Ahmedabad"/>
    <x v="1"/>
    <x v="1"/>
    <n v="31589.3"/>
    <d v="2016-12-23T00:00:00"/>
    <s v="Brokerage"/>
    <s v="Endorsement"/>
    <m/>
    <d v="2020-01-22T00:00:00"/>
  </r>
  <r>
    <s v="XYZ"/>
    <x v="287"/>
    <x v="0"/>
    <d v="2016-09-23T00:00:00"/>
    <d v="2019-09-22T00:00:00"/>
    <s v="Engineering"/>
    <n v="1"/>
    <s v="Vinay"/>
    <s v="Ahmedabad"/>
    <x v="1"/>
    <x v="1"/>
    <n v="31589.3"/>
    <d v="2017-03-23T00:00:00"/>
    <s v="Brokerage"/>
    <s v="Endorsement"/>
    <m/>
    <d v="2020-01-22T00:00:00"/>
  </r>
  <r>
    <s v="XYZ"/>
    <x v="287"/>
    <x v="0"/>
    <d v="2016-09-23T00:00:00"/>
    <d v="2019-09-22T00:00:00"/>
    <s v="Engineering"/>
    <n v="1"/>
    <s v="Vinay"/>
    <s v="Ahmedabad"/>
    <x v="1"/>
    <x v="1"/>
    <n v="31589.3"/>
    <d v="2017-06-23T00:00:00"/>
    <s v="Brokerage"/>
    <s v="Endorsement"/>
    <m/>
    <d v="2020-01-22T00:00:00"/>
  </r>
  <r>
    <s v="XYZ"/>
    <x v="287"/>
    <x v="0"/>
    <d v="2016-09-23T00:00:00"/>
    <d v="2019-09-22T00:00:00"/>
    <s v="Engineering"/>
    <n v="1"/>
    <s v="Vinay"/>
    <s v="Ahmedabad"/>
    <x v="1"/>
    <x v="1"/>
    <n v="31589.3"/>
    <d v="2017-09-23T00:00:00"/>
    <s v="Brokerage"/>
    <s v="Endorsement"/>
    <m/>
    <d v="2020-01-22T00:00:00"/>
  </r>
  <r>
    <s v="XYZ"/>
    <x v="287"/>
    <x v="0"/>
    <d v="2016-09-23T00:00:00"/>
    <d v="2019-09-22T00:00:00"/>
    <s v="Engineering"/>
    <n v="1"/>
    <s v="Vinay"/>
    <s v="Ahmedabad"/>
    <x v="1"/>
    <x v="1"/>
    <n v="183374.9"/>
    <d v="2016-09-23T00:00:00"/>
    <s v="Brokerage"/>
    <s v="Endorsement"/>
    <m/>
    <d v="2020-01-22T00:00:00"/>
  </r>
  <r>
    <s v="XYZ"/>
    <x v="287"/>
    <x v="0"/>
    <d v="2016-09-23T00:00:00"/>
    <d v="2019-09-22T00:00:00"/>
    <s v="Engineering"/>
    <n v="1"/>
    <s v="Vinay"/>
    <s v="Ahmedabad"/>
    <x v="1"/>
    <x v="1"/>
    <n v="0"/>
    <m/>
    <s v="Brokerage "/>
    <s v="Endorsement"/>
    <m/>
    <d v="2020-01-22T00:00:00"/>
  </r>
  <r>
    <s v="XYZ"/>
    <x v="287"/>
    <x v="0"/>
    <d v="2016-09-23T00:00:00"/>
    <d v="2019-09-22T00:00:00"/>
    <s v="Engineering"/>
    <n v="1"/>
    <s v="Vinay"/>
    <s v="Ahmedabad"/>
    <x v="1"/>
    <x v="1"/>
    <n v="0"/>
    <m/>
    <s v="Brokerage "/>
    <s v="Endorsement"/>
    <m/>
    <d v="2020-01-22T00:00:00"/>
  </r>
  <r>
    <s v="XYZ"/>
    <x v="287"/>
    <x v="0"/>
    <d v="2016-09-23T00:00:00"/>
    <d v="2019-09-22T00:00:00"/>
    <s v="Engineering"/>
    <n v="1"/>
    <s v="Vinay"/>
    <s v="Ahmedabad"/>
    <x v="1"/>
    <x v="1"/>
    <n v="0"/>
    <m/>
    <s v="Brokerage "/>
    <s v="Endorsement"/>
    <m/>
    <d v="2020-01-22T00:00:00"/>
  </r>
  <r>
    <s v="XYZ"/>
    <x v="288"/>
    <x v="0"/>
    <d v="2017-10-21T00:00:00"/>
    <d v="2018-10-20T00:00:00"/>
    <s v="Fire"/>
    <n v="1"/>
    <s v="Vinay"/>
    <s v="Ahmedabad"/>
    <x v="1"/>
    <x v="2"/>
    <n v="10118.39"/>
    <d v="2017-10-21T00:00:00"/>
    <s v="Brokerage"/>
    <s v="Inception"/>
    <m/>
    <d v="2020-01-22T00:00:00"/>
  </r>
  <r>
    <s v="XYZ"/>
    <x v="289"/>
    <x v="0"/>
    <d v="2017-10-21T00:00:00"/>
    <d v="2018-10-20T00:00:00"/>
    <s v="Miscellaneous"/>
    <n v="1"/>
    <s v="Vinay"/>
    <s v="Ahmedabad"/>
    <x v="1"/>
    <x v="2"/>
    <n v="2254.63"/>
    <d v="2017-10-21T00:00:00"/>
    <s v="Brokerage"/>
    <s v="Inception"/>
    <m/>
    <d v="2020-01-22T00:00:00"/>
  </r>
  <r>
    <s v="XYZ"/>
    <x v="290"/>
    <x v="0"/>
    <d v="2015-10-13T00:00:00"/>
    <d v="2019-10-12T00:00:00"/>
    <s v="Engineering"/>
    <n v="11"/>
    <s v="Raju Kumar"/>
    <s v="Ahmedabad"/>
    <x v="1"/>
    <x v="2"/>
    <n v="0"/>
    <d v="2015-10-13T00:00:00"/>
    <s v="Brokerage"/>
    <s v="Inception"/>
    <m/>
    <d v="2020-01-22T00:00:00"/>
  </r>
  <r>
    <s v="XYZ"/>
    <x v="291"/>
    <x v="0"/>
    <d v="2017-05-19T00:00:00"/>
    <d v="2019-11-18T00:00:00"/>
    <s v="Engineering"/>
    <n v="11"/>
    <s v="Raju Kumar"/>
    <s v="Ahmedabad"/>
    <x v="1"/>
    <x v="2"/>
    <n v="0"/>
    <d v="2017-05-19T00:00:00"/>
    <s v="Brokerage"/>
    <s v="Inception"/>
    <m/>
    <d v="2020-01-22T00:00:00"/>
  </r>
  <r>
    <s v="XYZ"/>
    <x v="292"/>
    <x v="0"/>
    <d v="2018-05-29T00:00:00"/>
    <d v="2027-05-28T00:00:00"/>
    <s v="Liability"/>
    <n v="1"/>
    <s v="Vinay"/>
    <s v="Ahmedabad"/>
    <x v="2"/>
    <x v="2"/>
    <n v="118750"/>
    <d v="2018-05-29T00:00:00"/>
    <s v="Brokerage"/>
    <s v="Inception"/>
    <m/>
    <d v="2020-01-22T00:00:00"/>
  </r>
  <r>
    <s v="XYZ"/>
    <x v="293"/>
    <x v="0"/>
    <d v="2018-08-28T00:00:00"/>
    <d v="2020-08-23T00:00:00"/>
    <s v="Engineering"/>
    <n v="1"/>
    <s v="Vinay"/>
    <s v="Ahmedabad"/>
    <x v="1"/>
    <x v="1"/>
    <n v="93516.75"/>
    <d v="2020-05-07T00:00:00"/>
    <s v="Brokerage"/>
    <s v="Inception"/>
    <m/>
    <d v="2020-01-22T00:00:00"/>
  </r>
  <r>
    <s v="XYZ"/>
    <x v="293"/>
    <x v="0"/>
    <d v="2018-08-28T00:00:00"/>
    <d v="2020-08-23T00:00:00"/>
    <s v="Engineering"/>
    <n v="1"/>
    <s v="Vinay"/>
    <s v="Ahmedabad"/>
    <x v="1"/>
    <x v="1"/>
    <n v="93516.75"/>
    <d v="2020-05-07T00:00:00"/>
    <s v="Brokerage"/>
    <s v="Inception"/>
    <m/>
    <d v="2020-01-22T00:00:00"/>
  </r>
  <r>
    <s v="XYZ"/>
    <x v="293"/>
    <x v="0"/>
    <d v="2018-08-28T00:00:00"/>
    <d v="2020-08-23T00:00:00"/>
    <s v="Engineering"/>
    <n v="1"/>
    <s v="Vinay"/>
    <s v="Ahmedabad"/>
    <x v="1"/>
    <x v="1"/>
    <n v="93516.75"/>
    <d v="2020-05-07T00:00:00"/>
    <s v="Brokerage"/>
    <s v="Inception"/>
    <m/>
    <d v="2020-01-22T00:00:00"/>
  </r>
  <r>
    <s v="XYZ"/>
    <x v="293"/>
    <x v="0"/>
    <d v="2018-08-28T00:00:00"/>
    <d v="2020-08-23T00:00:00"/>
    <s v="Engineering"/>
    <n v="1"/>
    <s v="Vinay"/>
    <s v="Ahmedabad"/>
    <x v="1"/>
    <x v="1"/>
    <n v="93517.25"/>
    <d v="2020-01-25T00:00:00"/>
    <s v="Brokerage"/>
    <s v="Inception"/>
    <m/>
    <d v="2020-01-22T00:00:00"/>
  </r>
  <r>
    <s v="XYZ"/>
    <x v="293"/>
    <x v="0"/>
    <d v="2018-08-28T00:00:00"/>
    <d v="2020-08-23T00:00:00"/>
    <s v="Engineering"/>
    <n v="1"/>
    <s v="Vinay"/>
    <s v="Ahmedabad"/>
    <x v="1"/>
    <x v="1"/>
    <n v="100710.88"/>
    <d v="2018-12-09T00:00:00"/>
    <s v="Brokerage"/>
    <s v="Inception"/>
    <m/>
    <d v="2020-01-22T00:00:00"/>
  </r>
  <r>
    <s v="XYZ"/>
    <x v="293"/>
    <x v="0"/>
    <d v="2018-08-28T00:00:00"/>
    <d v="2020-08-23T00:00:00"/>
    <s v="Engineering"/>
    <n v="1"/>
    <s v="Vinay"/>
    <s v="Ahmedabad"/>
    <x v="1"/>
    <x v="1"/>
    <n v="100710.88"/>
    <d v="2019-03-22T00:00:00"/>
    <s v="Brokerage"/>
    <s v="Inception"/>
    <m/>
    <d v="2020-01-22T00:00:00"/>
  </r>
  <r>
    <s v="XYZ"/>
    <x v="293"/>
    <x v="0"/>
    <d v="2018-08-28T00:00:00"/>
    <d v="2020-08-23T00:00:00"/>
    <s v="Engineering"/>
    <n v="1"/>
    <s v="Vinay"/>
    <s v="Ahmedabad"/>
    <x v="1"/>
    <x v="1"/>
    <n v="100710.88"/>
    <d v="2019-07-03T00:00:00"/>
    <s v="Brokerage"/>
    <s v="Inception"/>
    <m/>
    <d v="2020-01-22T00:00:00"/>
  </r>
  <r>
    <s v="XYZ"/>
    <x v="293"/>
    <x v="0"/>
    <d v="2018-08-28T00:00:00"/>
    <d v="2020-08-23T00:00:00"/>
    <s v="Engineering"/>
    <n v="1"/>
    <s v="Vinay"/>
    <s v="Ahmedabad"/>
    <x v="1"/>
    <x v="1"/>
    <n v="100710.88"/>
    <d v="2019-10-14T00:00:00"/>
    <s v="Brokerage"/>
    <s v="Inception"/>
    <m/>
    <d v="2020-01-22T00:00:00"/>
  </r>
  <r>
    <s v="XYZ"/>
    <x v="293"/>
    <x v="0"/>
    <d v="2018-08-28T00:00:00"/>
    <d v="2020-08-23T00:00:00"/>
    <s v="Engineering"/>
    <n v="1"/>
    <s v="Vinay"/>
    <s v="Ahmedabad"/>
    <x v="1"/>
    <x v="1"/>
    <n v="129485.38"/>
    <d v="2018-08-28T00:00:00"/>
    <s v="Brokerage"/>
    <s v="Inception"/>
    <m/>
    <d v="2020-01-22T00:00:00"/>
  </r>
  <r>
    <s v="XYZ"/>
    <x v="294"/>
    <x v="0"/>
    <d v="2018-12-06T00:00:00"/>
    <d v="2019-12-05T00:00:00"/>
    <s v="Engineering"/>
    <n v="1"/>
    <s v="Vinay"/>
    <s v="Ahmedabad"/>
    <x v="1"/>
    <x v="2"/>
    <n v="53711"/>
    <d v="2018-12-06T00:00:00"/>
    <s v="Brokerage"/>
    <s v="Inception"/>
    <m/>
    <d v="2020-01-22T00:00:00"/>
  </r>
  <r>
    <s v="XYZ"/>
    <x v="295"/>
    <x v="0"/>
    <d v="2019-03-26T00:00:00"/>
    <d v="2020-09-25T00:00:00"/>
    <s v="Engineering"/>
    <n v="1"/>
    <s v="Vinay"/>
    <s v="Ahmedabad"/>
    <x v="1"/>
    <x v="2"/>
    <n v="49576"/>
    <d v="2019-03-26T00:00:00"/>
    <s v="Brokerage"/>
    <s v="Inception"/>
    <m/>
    <d v="2020-01-22T00:00:00"/>
  </r>
  <r>
    <s v="XYZ"/>
    <x v="296"/>
    <x v="0"/>
    <d v="2016-09-21T00:00:00"/>
    <d v="2020-06-20T00:00:00"/>
    <s v="Engineering"/>
    <n v="1"/>
    <s v="Vinay"/>
    <s v="Ahmedabad"/>
    <x v="1"/>
    <x v="2"/>
    <n v="0"/>
    <d v="2016-09-21T00:00:00"/>
    <s v="Brokerage"/>
    <s v="Endorsement"/>
    <m/>
    <d v="2020-01-22T00:00:00"/>
  </r>
  <r>
    <s v="XYZ"/>
    <x v="296"/>
    <x v="0"/>
    <d v="2016-09-21T00:00:00"/>
    <d v="2020-06-20T00:00:00"/>
    <s v="Engineering"/>
    <n v="1"/>
    <s v="Vinay"/>
    <s v="Ahmedabad"/>
    <x v="1"/>
    <x v="2"/>
    <m/>
    <d v="2018-09-21T00:00:00"/>
    <s v="Brokerage "/>
    <s v="Endorsement"/>
    <m/>
    <d v="2020-01-22T00:00:00"/>
  </r>
  <r>
    <s v="XYZ"/>
    <x v="296"/>
    <x v="0"/>
    <d v="2016-09-21T00:00:00"/>
    <d v="2020-06-20T00:00:00"/>
    <s v="Engineering"/>
    <n v="1"/>
    <s v="Vinay"/>
    <s v="Ahmedabad"/>
    <x v="1"/>
    <x v="2"/>
    <m/>
    <d v="2018-12-21T00:00:00"/>
    <s v="Brokerage "/>
    <s v="Endorsement"/>
    <m/>
    <d v="2020-01-22T00:00:00"/>
  </r>
  <r>
    <s v="XYZ"/>
    <x v="297"/>
    <x v="0"/>
    <d v="2017-06-01T00:00:00"/>
    <d v="2019-05-31T00:00:00"/>
    <s v="Engineering"/>
    <n v="1"/>
    <s v="Vinay"/>
    <s v="Ahmedabad"/>
    <x v="1"/>
    <x v="2"/>
    <n v="64971"/>
    <d v="2018-12-01T00:00:00"/>
    <s v="Brokerage"/>
    <s v="Inception"/>
    <m/>
    <d v="2020-01-22T00:00:00"/>
  </r>
  <r>
    <s v="SRE"/>
    <x v="298"/>
    <x v="0"/>
    <d v="2019-06-30T00:00:00"/>
    <d v="2020-06-29T00:00:00"/>
    <s v="Marine"/>
    <n v="1"/>
    <s v="Vinay"/>
    <s v="Ahmedabad"/>
    <x v="0"/>
    <x v="0"/>
    <n v="66188.759999999995"/>
    <d v="2019-06-30T00:00:00"/>
    <s v="Brokerage"/>
    <s v="Renewal"/>
    <m/>
    <d v="2020-01-22T00:00:00"/>
  </r>
  <r>
    <s v="SRE"/>
    <x v="299"/>
    <x v="0"/>
    <d v="2017-06-30T00:00:00"/>
    <d v="2018-06-29T00:00:00"/>
    <s v="Marine"/>
    <n v="1"/>
    <s v="Vinay"/>
    <s v="Ahmedabad"/>
    <x v="0"/>
    <x v="2"/>
    <n v="37754.15"/>
    <d v="2018-06-30T00:00:00"/>
    <s v="Brokerage"/>
    <s v="Inception"/>
    <m/>
    <d v="2020-01-22T00:00:00"/>
  </r>
  <r>
    <s v="SRE"/>
    <x v="300"/>
    <x v="0"/>
    <d v="2019-09-01T00:00:00"/>
    <d v="2020-08-31T00:00:00"/>
    <s v="Fire"/>
    <n v="1"/>
    <s v="Vinay"/>
    <s v="Ahmedabad"/>
    <x v="4"/>
    <x v="0"/>
    <n v="48325.760000000002"/>
    <d v="2019-09-01T00:00:00"/>
    <s v="Brokerage"/>
    <s v="Renewal"/>
    <m/>
    <d v="2020-01-22T00:00:00"/>
  </r>
  <r>
    <s v="SRE"/>
    <x v="29"/>
    <x v="0"/>
    <d v="2018-09-01T00:00:00"/>
    <d v="2019-08-31T00:00:00"/>
    <s v="Fire"/>
    <n v="1"/>
    <s v="Vinay"/>
    <s v="Ahmedabad"/>
    <x v="4"/>
    <x v="0"/>
    <n v="5763.57"/>
    <d v="2018-09-01T00:00:00"/>
    <s v="Brokerage"/>
    <s v="Inception"/>
    <m/>
    <d v="2020-01-22T00:00:00"/>
  </r>
  <r>
    <s v="SRE"/>
    <x v="29"/>
    <x v="1"/>
    <d v="2018-09-01T00:00:00"/>
    <d v="2019-08-31T00:00:00"/>
    <s v="Fire"/>
    <n v="1"/>
    <s v="Vinay"/>
    <s v="Ahmedabad"/>
    <x v="4"/>
    <x v="0"/>
    <n v="5721.71"/>
    <d v="2018-09-01T00:00:00"/>
    <s v="Brokerage"/>
    <s v="Inception"/>
    <m/>
    <d v="2020-01-22T00:00:00"/>
  </r>
  <r>
    <s v="SRE"/>
    <x v="301"/>
    <x v="1"/>
    <d v="2018-06-30T00:00:00"/>
    <d v="2019-06-29T00:00:00"/>
    <s v="Marine"/>
    <n v="5"/>
    <s v="Juli"/>
    <s v="Ahmedabad"/>
    <x v="0"/>
    <x v="0"/>
    <n v="50101.73"/>
    <d v="2018-06-30T00:00:00"/>
    <s v="Brokerage"/>
    <s v="Inception"/>
    <m/>
    <d v="2020-01-22T00:00:00"/>
  </r>
  <r>
    <s v="SRE"/>
    <x v="302"/>
    <x v="1"/>
    <d v="2018-01-12T00:00:00"/>
    <d v="2019-01-11T00:00:00"/>
    <s v="Miscellaneous"/>
    <n v="1"/>
    <s v="Vinay"/>
    <s v="Ahmedabad"/>
    <x v="8"/>
    <x v="0"/>
    <n v="2940.49"/>
    <d v="2018-01-12T00:00:00"/>
    <s v="Brokerage"/>
    <s v="Lapse"/>
    <s v="OTHR â€“ Other"/>
    <d v="2020-01-22T00:00:00"/>
  </r>
  <r>
    <s v="SRE"/>
    <x v="303"/>
    <x v="0"/>
    <d v="2019-01-12T00:00:00"/>
    <d v="2020-01-11T00:00:00"/>
    <s v="Miscellaneous"/>
    <n v="1"/>
    <s v="Vinay"/>
    <s v="Ahmedabad"/>
    <x v="8"/>
    <x v="0"/>
    <n v="3073.94"/>
    <d v="2019-01-12T00:00:00"/>
    <s v="Brokerage"/>
    <s v="Renewal"/>
    <m/>
    <d v="2020-01-22T00:00:00"/>
  </r>
  <r>
    <s v="SRE"/>
    <x v="304"/>
    <x v="1"/>
    <d v="2018-01-16T00:00:00"/>
    <d v="2019-01-15T00:00:00"/>
    <s v="Marine"/>
    <n v="1"/>
    <s v="Vinay"/>
    <s v="Ahmedabad"/>
    <x v="0"/>
    <x v="2"/>
    <n v="330"/>
    <d v="2018-01-16T00:00:00"/>
    <s v="Brokerage"/>
    <s v="Lapse"/>
    <s v="OTHR â€“ Other"/>
    <d v="2020-01-22T00:00:00"/>
  </r>
  <r>
    <s v="SRE"/>
    <x v="305"/>
    <x v="0"/>
    <d v="2019-09-01T00:00:00"/>
    <d v="2020-08-31T00:00:00"/>
    <s v="Fire"/>
    <n v="1"/>
    <s v="Vinay"/>
    <s v="Ahmedabad"/>
    <x v="4"/>
    <x v="0"/>
    <n v="20327.63"/>
    <d v="2019-09-01T00:00:00"/>
    <s v="Brokerage"/>
    <s v="Renewal"/>
    <m/>
    <d v="2020-01-22T00:00:00"/>
  </r>
  <r>
    <s v="SRE"/>
    <x v="29"/>
    <x v="1"/>
    <d v="2018-09-01T00:00:00"/>
    <d v="2019-08-31T00:00:00"/>
    <s v="Fire"/>
    <n v="1"/>
    <s v="Vinay"/>
    <s v="Ahmedabad"/>
    <x v="4"/>
    <x v="0"/>
    <n v="2164.3000000000002"/>
    <d v="2018-09-01T00:00:00"/>
    <s v="Brokerage"/>
    <s v="Inception"/>
    <m/>
    <d v="2020-01-22T00:00:00"/>
  </r>
  <r>
    <s v="SRE"/>
    <x v="306"/>
    <x v="0"/>
    <d v="2019-09-01T00:00:00"/>
    <d v="2020-08-31T00:00:00"/>
    <s v="Fire"/>
    <n v="1"/>
    <s v="Vinay"/>
    <s v="Ahmedabad"/>
    <x v="4"/>
    <x v="0"/>
    <n v="27258.799999999999"/>
    <d v="2019-09-01T00:00:00"/>
    <s v="Brokerage"/>
    <s v="Renewal"/>
    <m/>
    <d v="2020-01-22T00:00:00"/>
  </r>
  <r>
    <s v="SRE"/>
    <x v="29"/>
    <x v="1"/>
    <d v="2018-09-01T00:00:00"/>
    <d v="2019-08-31T00:00:00"/>
    <s v="Fire"/>
    <n v="1"/>
    <s v="Vinay"/>
    <s v="Ahmedabad"/>
    <x v="4"/>
    <x v="0"/>
    <n v="5105.2"/>
    <d v="2018-09-01T00:00:00"/>
    <s v="Brokerage"/>
    <s v="Inception"/>
    <m/>
    <d v="2020-01-22T00:00:00"/>
  </r>
  <r>
    <s v="SRE"/>
    <x v="307"/>
    <x v="0"/>
    <d v="2020-01-17T00:00:00"/>
    <d v="2020-01-22T00:00:00"/>
    <s v="Employee Benefits"/>
    <n v="1"/>
    <s v="Vinay"/>
    <s v="Ahmedabad"/>
    <x v="5"/>
    <x v="2"/>
    <n v="95.85"/>
    <d v="2020-01-17T00:00:00"/>
    <s v="Brokerage"/>
    <s v="Inception"/>
    <m/>
    <d v="2020-01-22T00:00:00"/>
  </r>
  <r>
    <s v="SRE"/>
    <x v="29"/>
    <x v="0"/>
    <d v="2018-09-01T00:00:00"/>
    <d v="2019-08-31T00:00:00"/>
    <s v="Fire"/>
    <n v="1"/>
    <s v="Vinay"/>
    <s v="Ahmedabad"/>
    <x v="4"/>
    <x v="0"/>
    <n v="153.76"/>
    <d v="2018-09-01T00:00:00"/>
    <s v="Brokerage"/>
    <s v="Inception"/>
    <m/>
    <d v="2020-01-22T00:00:00"/>
  </r>
  <r>
    <s v="SRE"/>
    <x v="29"/>
    <x v="0"/>
    <d v="2018-09-01T00:00:00"/>
    <d v="2019-08-31T00:00:00"/>
    <s v="Fire"/>
    <n v="1"/>
    <s v="Vinay"/>
    <s v="Ahmedabad"/>
    <x v="4"/>
    <x v="0"/>
    <n v="3842.38"/>
    <d v="2018-09-01T00:00:00"/>
    <s v="Brokerage"/>
    <s v="Inception"/>
    <m/>
    <d v="2020-01-22T00:00:00"/>
  </r>
  <r>
    <s v="SRE"/>
    <x v="308"/>
    <x v="0"/>
    <d v="2019-09-12T00:00:00"/>
    <d v="2020-09-11T00:00:00"/>
    <s v="Marine"/>
    <n v="1"/>
    <s v="Vinay"/>
    <s v="Ahmedabad"/>
    <x v="5"/>
    <x v="0"/>
    <n v="3300"/>
    <d v="2019-09-12T00:00:00"/>
    <s v="Brokerage"/>
    <s v="Inception"/>
    <m/>
    <d v="2020-01-22T00:00:00"/>
  </r>
  <r>
    <s v="SRE"/>
    <x v="309"/>
    <x v="0"/>
    <d v="2018-11-01T00:00:00"/>
    <d v="2019-10-31T00:00:00"/>
    <s v="Marine"/>
    <n v="1"/>
    <s v="Vinay"/>
    <s v="Ahmedabad"/>
    <x v="0"/>
    <x v="0"/>
    <n v="7424.84"/>
    <d v="2018-11-01T00:00:00"/>
    <s v="Brokerage"/>
    <s v="Renewal"/>
    <m/>
    <d v="2020-01-22T00:00:00"/>
  </r>
  <r>
    <s v="SRE"/>
    <x v="310"/>
    <x v="1"/>
    <d v="2017-11-01T00:00:00"/>
    <d v="2018-10-31T00:00:00"/>
    <s v="Marine"/>
    <n v="1"/>
    <s v="Vinay"/>
    <s v="Ahmedabad"/>
    <x v="0"/>
    <x v="0"/>
    <n v="55687.5"/>
    <d v="2017-11-01T00:00:00"/>
    <s v="Brokerage"/>
    <s v="Lapse"/>
    <s v="OTHR â€“ Other"/>
    <d v="2020-01-22T00:00:00"/>
  </r>
  <r>
    <s v="SRE"/>
    <x v="311"/>
    <x v="0"/>
    <d v="2018-09-12T00:00:00"/>
    <d v="2019-09-11T00:00:00"/>
    <s v="Marine"/>
    <n v="5"/>
    <s v="Juli"/>
    <s v="Ahmedabad"/>
    <x v="0"/>
    <x v="0"/>
    <n v="8745.18"/>
    <d v="2018-09-12T00:00:00"/>
    <s v="Brokerage"/>
    <s v="Inception"/>
    <m/>
    <d v="2020-01-22T00:00:00"/>
  </r>
  <r>
    <s v="SRE"/>
    <x v="312"/>
    <x v="0"/>
    <d v="2019-02-15T00:00:00"/>
    <d v="2020-02-14T00:00:00"/>
    <s v="Motor"/>
    <n v="9"/>
    <s v="Manish Sharma"/>
    <s v="Ahmedabad"/>
    <x v="9"/>
    <x v="2"/>
    <n v="10578.39"/>
    <d v="2019-02-15T00:00:00"/>
    <s v="Brokerage"/>
    <s v="Inception"/>
    <m/>
    <d v="2020-01-22T00:00:00"/>
  </r>
  <r>
    <s v="SRE"/>
    <x v="313"/>
    <x v="0"/>
    <d v="2019-09-01T00:00:00"/>
    <d v="2020-08-31T00:00:00"/>
    <s v="Fire"/>
    <n v="1"/>
    <s v="Vinay"/>
    <s v="Ahmedabad"/>
    <x v="4"/>
    <x v="0"/>
    <n v="10279.51"/>
    <d v="2019-09-01T00:00:00"/>
    <s v="Brokerage"/>
    <s v="Renewal"/>
    <m/>
    <d v="2020-01-22T00:00:00"/>
  </r>
  <r>
    <s v="SRE"/>
    <x v="29"/>
    <x v="1"/>
    <d v="2018-09-01T00:00:00"/>
    <d v="2019-08-31T00:00:00"/>
    <s v="Fire"/>
    <n v="1"/>
    <s v="Vinay"/>
    <s v="Ahmedabad"/>
    <x v="4"/>
    <x v="0"/>
    <n v="610.77"/>
    <d v="2018-09-01T00:00:00"/>
    <s v="Brokerage"/>
    <s v="Inception"/>
    <m/>
    <d v="2020-01-22T00:00:00"/>
  </r>
  <r>
    <s v="SRE"/>
    <x v="314"/>
    <x v="1"/>
    <d v="2018-03-09T00:00:00"/>
    <d v="2019-03-08T00:00:00"/>
    <s v="Liability"/>
    <n v="12"/>
    <s v="Shivani Sharma"/>
    <s v="Ahmedabad"/>
    <x v="6"/>
    <x v="0"/>
    <n v="25000"/>
    <d v="2018-03-09T00:00:00"/>
    <s v="Brokerage"/>
    <s v="Inception"/>
    <m/>
    <d v="2020-01-22T00:00:00"/>
  </r>
  <r>
    <s v="SRE"/>
    <x v="315"/>
    <x v="0"/>
    <d v="2019-03-09T00:00:00"/>
    <d v="2020-03-08T00:00:00"/>
    <s v="Liability"/>
    <n v="3"/>
    <s v="Animesh Rawat"/>
    <s v="Ahmedabad"/>
    <x v="6"/>
    <x v="0"/>
    <n v="23750"/>
    <d v="2019-03-09T00:00:00"/>
    <s v="Brokerage"/>
    <s v="Renewal"/>
    <m/>
    <d v="2020-01-22T00:00:00"/>
  </r>
  <r>
    <s v="SRE"/>
    <x v="316"/>
    <x v="1"/>
    <d v="2018-11-10T00:00:00"/>
    <d v="2019-11-09T00:00:00"/>
    <s v="Employee Benefits"/>
    <n v="13"/>
    <s v="Vididt Saha"/>
    <s v="Ahmedabad"/>
    <x v="3"/>
    <x v="2"/>
    <n v="0"/>
    <d v="2018-11-10T00:00:00"/>
    <s v="Brokerage"/>
    <s v="Inception"/>
    <m/>
    <d v="2020-01-22T00:00:00"/>
  </r>
  <r>
    <s v="SRE"/>
    <x v="317"/>
    <x v="1"/>
    <d v="2018-01-12T00:00:00"/>
    <d v="2019-01-11T00:00:00"/>
    <s v="Marine"/>
    <n v="13"/>
    <s v="Vididt Saha"/>
    <s v="Ahmedabad"/>
    <x v="0"/>
    <x v="2"/>
    <n v="10395"/>
    <d v="2018-01-12T00:00:00"/>
    <s v="Brokerage"/>
    <s v="Endorsement"/>
    <m/>
    <d v="2020-01-22T00:00:00"/>
  </r>
  <r>
    <s v="SRE"/>
    <x v="317"/>
    <x v="1"/>
    <d v="2018-01-12T00:00:00"/>
    <d v="2019-01-11T00:00:00"/>
    <s v="Marine"/>
    <n v="13"/>
    <s v="Vididt Saha"/>
    <s v="Ahmedabad"/>
    <x v="0"/>
    <x v="2"/>
    <n v="0"/>
    <m/>
    <s v="Brokerage "/>
    <s v="Endorsement"/>
    <m/>
    <d v="2020-01-22T00:00:00"/>
  </r>
  <r>
    <s v="SRE"/>
    <x v="318"/>
    <x v="1"/>
    <d v="2019-01-12T00:00:00"/>
    <d v="2020-01-11T00:00:00"/>
    <s v="Marine"/>
    <n v="13"/>
    <s v="Vididt Saha"/>
    <s v="Ahmedabad"/>
    <x v="0"/>
    <x v="2"/>
    <n v="15592.5"/>
    <d v="2019-01-12T00:00:00"/>
    <s v="Brokerage"/>
    <s v="Renewal"/>
    <m/>
    <d v="2020-01-22T00:00:00"/>
  </r>
  <r>
    <s v="SRE"/>
    <x v="317"/>
    <x v="0"/>
    <d v="2020-01-12T00:00:00"/>
    <d v="2021-01-11T00:00:00"/>
    <s v="Marine"/>
    <n v="13"/>
    <s v="Vididt Saha"/>
    <s v="Ahmedabad"/>
    <x v="0"/>
    <x v="2"/>
    <n v="11310.75"/>
    <d v="2020-01-12T00:00:00"/>
    <s v="Brokerage"/>
    <s v="Renewal"/>
    <m/>
    <d v="2020-01-22T00:00:00"/>
  </r>
  <r>
    <s v="SRE"/>
    <x v="319"/>
    <x v="0"/>
    <d v="2019-11-10T00:00:00"/>
    <d v="2020-11-09T00:00:00"/>
    <s v="Employee Benefits"/>
    <n v="13"/>
    <s v="Vididt Saha"/>
    <s v="Ahmedabad"/>
    <x v="3"/>
    <x v="0"/>
    <n v="48928.73"/>
    <d v="2019-11-10T00:00:00"/>
    <s v="Brokerage"/>
    <s v="Renewal"/>
    <m/>
    <d v="2020-01-22T00:00:00"/>
  </r>
  <r>
    <s v="SRE"/>
    <x v="320"/>
    <x v="0"/>
    <d v="2019-11-25T00:00:00"/>
    <d v="2020-11-24T00:00:00"/>
    <s v="Liability"/>
    <n v="13"/>
    <s v="Vididt Saha"/>
    <s v="Ahmedabad"/>
    <x v="2"/>
    <x v="0"/>
    <n v="18975"/>
    <d v="2019-11-25T00:00:00"/>
    <s v="Brokerage"/>
    <s v="Inception"/>
    <m/>
    <d v="2020-01-22T00:00:00"/>
  </r>
  <r>
    <s v="SRE"/>
    <x v="321"/>
    <x v="1"/>
    <d v="2018-07-11T00:00:00"/>
    <d v="2019-07-10T00:00:00"/>
    <s v="Miscellaneous"/>
    <n v="13"/>
    <s v="Vididt Saha"/>
    <s v="Ahmedabad"/>
    <x v="2"/>
    <x v="2"/>
    <n v="16170"/>
    <d v="2018-07-11T00:00:00"/>
    <s v="Brokerage"/>
    <s v="Lapse"/>
    <s v="NOLN - No Longer Needed"/>
    <d v="2020-01-22T00:00:00"/>
  </r>
  <r>
    <s v="SRE"/>
    <x v="322"/>
    <x v="0"/>
    <d v="2019-07-09T00:00:00"/>
    <d v="2020-07-08T00:00:00"/>
    <s v="Employee Benefits"/>
    <n v="13"/>
    <s v="Vididt Saha"/>
    <s v="Ahmedabad"/>
    <x v="3"/>
    <x v="2"/>
    <n v="9056.48"/>
    <d v="2019-07-09T00:00:00"/>
    <s v="Brokerage"/>
    <s v="Inception"/>
    <m/>
    <d v="2020-01-22T00:00:00"/>
  </r>
  <r>
    <s v="SRE"/>
    <x v="323"/>
    <x v="1"/>
    <d v="2018-07-10T00:00:00"/>
    <d v="2019-07-09T00:00:00"/>
    <s v="Fire"/>
    <n v="13"/>
    <s v="Vididt Saha"/>
    <s v="Ahmedabad"/>
    <x v="4"/>
    <x v="2"/>
    <n v="18357"/>
    <d v="2018-07-10T00:00:00"/>
    <s v="Brokerage"/>
    <s v="Lapse"/>
    <s v="OTHR â€“ Other"/>
    <d v="2020-01-22T00:00:00"/>
  </r>
  <r>
    <s v="SRE"/>
    <x v="324"/>
    <x v="1"/>
    <d v="2018-07-10T00:00:00"/>
    <d v="2019-07-09T00:00:00"/>
    <s v="Fire"/>
    <n v="13"/>
    <s v="Vididt Saha"/>
    <s v="Ahmedabad"/>
    <x v="4"/>
    <x v="2"/>
    <n v="10416.75"/>
    <d v="2018-07-10T00:00:00"/>
    <s v="Brokerage"/>
    <s v="Inception"/>
    <m/>
    <d v="2020-01-22T00:00:00"/>
  </r>
  <r>
    <s v="SRE"/>
    <x v="325"/>
    <x v="1"/>
    <d v="2018-07-10T00:00:00"/>
    <d v="2019-07-09T00:00:00"/>
    <s v="Miscellaneous"/>
    <n v="13"/>
    <s v="Vididt Saha"/>
    <s v="Ahmedabad"/>
    <x v="4"/>
    <x v="2"/>
    <n v="1232"/>
    <d v="2018-07-10T00:00:00"/>
    <s v="Brokerage"/>
    <s v="Inception"/>
    <m/>
    <d v="2020-01-22T00:00:00"/>
  </r>
  <r>
    <s v="SRE"/>
    <x v="326"/>
    <x v="1"/>
    <d v="2018-07-10T00:00:00"/>
    <d v="2019-07-09T00:00:00"/>
    <s v="Miscellaneous"/>
    <n v="13"/>
    <s v="Vididt Saha"/>
    <s v="Ahmedabad"/>
    <x v="4"/>
    <x v="2"/>
    <n v="242.5"/>
    <d v="2018-07-10T00:00:00"/>
    <s v="Brokerage"/>
    <s v="Lapse"/>
    <s v="NOLN - No Longer Needed"/>
    <d v="2020-01-22T00:00:00"/>
  </r>
  <r>
    <s v="SRE"/>
    <x v="327"/>
    <x v="0"/>
    <d v="2019-01-09T00:00:00"/>
    <d v="2020-01-08T00:00:00"/>
    <s v="Miscellaneous"/>
    <n v="13"/>
    <s v="Vididt Saha"/>
    <s v="Ahmedabad"/>
    <x v="4"/>
    <x v="2"/>
    <n v="643.75"/>
    <d v="2019-01-09T00:00:00"/>
    <s v="Brokerage"/>
    <s v="Inception"/>
    <m/>
    <d v="2020-01-22T00:00:00"/>
  </r>
  <r>
    <s v="SRE"/>
    <x v="328"/>
    <x v="0"/>
    <d v="2019-05-16T00:00:00"/>
    <d v="2020-05-15T00:00:00"/>
    <s v="Fire"/>
    <n v="13"/>
    <s v="Vididt Saha"/>
    <s v="Ahmedabad"/>
    <x v="4"/>
    <x v="2"/>
    <n v="4595.75"/>
    <d v="2019-05-16T00:00:00"/>
    <s v="Brokerage"/>
    <s v="Inception"/>
    <m/>
    <d v="2020-01-22T00:00:00"/>
  </r>
  <r>
    <s v="SRE"/>
    <x v="329"/>
    <x v="0"/>
    <d v="2019-07-11T00:00:00"/>
    <d v="2020-07-10T00:00:00"/>
    <s v="Fire"/>
    <n v="13"/>
    <s v="Vididt Saha"/>
    <s v="Ahmedabad"/>
    <x v="4"/>
    <x v="2"/>
    <n v="21905.200000000001"/>
    <d v="2019-07-11T00:00:00"/>
    <s v="Brokerage"/>
    <s v="Renewal"/>
    <m/>
    <d v="2020-01-22T00:00:00"/>
  </r>
  <r>
    <s v="SRE"/>
    <x v="330"/>
    <x v="0"/>
    <d v="2019-07-10T00:00:00"/>
    <d v="2020-07-09T00:00:00"/>
    <s v="Miscellaneous"/>
    <n v="13"/>
    <s v="Vididt Saha"/>
    <s v="Ahmedabad"/>
    <x v="4"/>
    <x v="2"/>
    <n v="337.5"/>
    <d v="2019-07-10T00:00:00"/>
    <s v="Brokerage"/>
    <s v="Renewal"/>
    <m/>
    <d v="2020-01-22T00:00:00"/>
  </r>
  <r>
    <s v="SRE"/>
    <x v="331"/>
    <x v="0"/>
    <d v="2018-12-28T00:00:00"/>
    <d v="2019-12-27T00:00:00"/>
    <s v="Marine"/>
    <n v="1"/>
    <s v="Vinay"/>
    <s v="Ahmedabad"/>
    <x v="0"/>
    <x v="2"/>
    <n v="6112.76"/>
    <d v="2018-12-28T00:00:00"/>
    <s v="Brokerage"/>
    <s v="Endorsement"/>
    <m/>
    <d v="2020-01-22T00:00:00"/>
  </r>
  <r>
    <s v="SRE"/>
    <x v="331"/>
    <x v="0"/>
    <d v="2018-12-28T00:00:00"/>
    <d v="2019-12-27T00:00:00"/>
    <s v="Marine"/>
    <n v="1"/>
    <s v="Vinay"/>
    <s v="Ahmedabad"/>
    <x v="0"/>
    <x v="2"/>
    <n v="0"/>
    <m/>
    <s v="Brokerage "/>
    <s v="Endorsement"/>
    <m/>
    <d v="2020-01-22T00:00:00"/>
  </r>
  <r>
    <s v="SRE"/>
    <x v="332"/>
    <x v="0"/>
    <d v="2018-12-06T00:00:00"/>
    <d v="2019-12-05T00:00:00"/>
    <s v="Marine"/>
    <n v="1"/>
    <s v="Vinay"/>
    <s v="Ahmedabad"/>
    <x v="0"/>
    <x v="2"/>
    <n v="10725"/>
    <d v="2018-12-06T00:00:00"/>
    <s v="Brokerage"/>
    <s v="Inception"/>
    <m/>
    <d v="2020-01-22T00:00:00"/>
  </r>
  <r>
    <s v="SRE"/>
    <x v="333"/>
    <x v="0"/>
    <d v="2019-03-09T00:00:00"/>
    <d v="2020-03-08T00:00:00"/>
    <s v="Liability"/>
    <n v="2"/>
    <s v="Abhinav Shivam"/>
    <s v="Ahmedabad"/>
    <x v="2"/>
    <x v="2"/>
    <n v="27530.38"/>
    <d v="2019-03-09T00:00:00"/>
    <s v="Brokerage"/>
    <s v="Inception"/>
    <m/>
    <d v="2020-01-22T00:00:00"/>
  </r>
  <r>
    <s v="SRE"/>
    <x v="29"/>
    <x v="1"/>
    <d v="2018-04-01T00:00:00"/>
    <d v="2019-03-31T00:00:00"/>
    <s v="Miscellaneous"/>
    <n v="1"/>
    <s v="Vinay"/>
    <s v="Ahmedabad"/>
    <x v="4"/>
    <x v="2"/>
    <n v="106033.91"/>
    <d v="2018-04-01T00:00:00"/>
    <s v="Brokerage"/>
    <s v="Lapse"/>
    <s v="COMP - Competition"/>
    <d v="2020-01-22T00:00:00"/>
  </r>
  <r>
    <s v="SRE"/>
    <x v="29"/>
    <x v="0"/>
    <d v="2019-01-08T00:00:00"/>
    <d v="2019-04-07T00:00:00"/>
    <s v="Fire"/>
    <n v="2"/>
    <s v="Abhinav Shivam"/>
    <s v="Ahmedabad"/>
    <x v="5"/>
    <x v="2"/>
    <n v="3978.77"/>
    <d v="2019-01-08T00:00:00"/>
    <s v="Brokerage"/>
    <s v="Inception"/>
    <m/>
    <d v="2020-01-22T00:00:00"/>
  </r>
  <r>
    <s v="SRE"/>
    <x v="29"/>
    <x v="0"/>
    <d v="2019-01-19T00:00:00"/>
    <d v="2019-04-18T00:00:00"/>
    <s v="Fire"/>
    <n v="2"/>
    <s v="Abhinav Shivam"/>
    <s v="Ahmedabad"/>
    <x v="5"/>
    <x v="2"/>
    <n v="9453.35"/>
    <d v="2019-01-19T00:00:00"/>
    <s v="Brokerage"/>
    <s v="Inception"/>
    <m/>
    <d v="2020-01-22T00:00:00"/>
  </r>
  <r>
    <s v="SRE"/>
    <x v="29"/>
    <x v="0"/>
    <d v="2019-02-26T00:00:00"/>
    <d v="2019-04-25T00:00:00"/>
    <s v="Fire"/>
    <n v="2"/>
    <s v="Abhinav Shivam"/>
    <s v="Ahmedabad"/>
    <x v="5"/>
    <x v="2"/>
    <n v="4156.79"/>
    <d v="2019-02-26T00:00:00"/>
    <s v="Brokerage"/>
    <s v="Inception"/>
    <m/>
    <d v="2020-01-22T00:00:00"/>
  </r>
  <r>
    <s v="SRE"/>
    <x v="334"/>
    <x v="0"/>
    <d v="2019-04-22T00:00:00"/>
    <d v="2020-04-21T00:00:00"/>
    <s v="Miscellaneous"/>
    <n v="13"/>
    <s v="Vididt Saha"/>
    <s v="Ahmedabad"/>
    <x v="2"/>
    <x v="1"/>
    <n v="7451.24"/>
    <d v="2019-04-22T00:00:00"/>
    <s v="Brokerage"/>
    <s v="Inception"/>
    <m/>
    <d v="2020-01-22T00:00:00"/>
  </r>
  <r>
    <s v="DDD"/>
    <x v="335"/>
    <x v="0"/>
    <d v="2018-12-07T00:00:00"/>
    <d v="2019-12-06T00:00:00"/>
    <s v="Marine"/>
    <n v="1"/>
    <s v="Vinay"/>
    <s v="Ahmedabad"/>
    <x v="0"/>
    <x v="2"/>
    <n v="3630"/>
    <d v="2019-12-17T00:00:00"/>
    <s v="Brokerage"/>
    <s v="Inception"/>
    <m/>
    <d v="2020-01-22T00:00:00"/>
  </r>
  <r>
    <s v="SRE"/>
    <x v="27"/>
    <x v="0"/>
    <d v="2018-09-11T00:00:00"/>
    <d v="2019-09-10T00:00:00"/>
    <s v="Marine"/>
    <n v="1"/>
    <s v="Vinay"/>
    <s v="Ahmedabad"/>
    <x v="0"/>
    <x v="0"/>
    <n v="1072.5"/>
    <d v="2019-09-11T00:00:00"/>
    <s v="Brokerage"/>
    <s v="Inception"/>
    <m/>
    <d v="2020-01-22T00:00:00"/>
  </r>
  <r>
    <s v="DDD"/>
    <x v="336"/>
    <x v="0"/>
    <d v="2019-01-03T00:00:00"/>
    <d v="2019-10-02T00:00:00"/>
    <s v="Engineering"/>
    <n v="3"/>
    <s v="Animesh Rawat"/>
    <s v="Ahmedabad"/>
    <x v="6"/>
    <x v="2"/>
    <n v="49401.25"/>
    <d v="2019-01-03T00:00:00"/>
    <s v="Brokerage"/>
    <s v="Inception"/>
    <m/>
    <d v="2020-01-22T00:00:00"/>
  </r>
  <r>
    <s v="DDD"/>
    <x v="336"/>
    <x v="0"/>
    <d v="2019-01-03T00:00:00"/>
    <d v="2019-10-02T00:00:00"/>
    <s v="Engineering"/>
    <n v="3"/>
    <s v="Animesh Rawat"/>
    <s v="Ahmedabad"/>
    <x v="6"/>
    <x v="2"/>
    <n v="49401.25"/>
    <d v="2019-01-03T00:00:00"/>
    <s v="Brokerage"/>
    <s v="Inception"/>
    <m/>
    <d v="2020-01-22T00:00:00"/>
  </r>
  <r>
    <s v="DDD"/>
    <x v="337"/>
    <x v="0"/>
    <d v="2019-01-03T00:00:00"/>
    <d v="2019-10-02T00:00:00"/>
    <s v="Engineering"/>
    <n v="3"/>
    <s v="Animesh Rawat"/>
    <s v="Ahmedabad"/>
    <x v="6"/>
    <x v="2"/>
    <n v="45000"/>
    <d v="2019-01-03T00:00:00"/>
    <s v="Brokerage"/>
    <s v="Inception"/>
    <m/>
    <d v="2020-01-22T00:00:00"/>
  </r>
  <r>
    <s v="DDD"/>
    <x v="338"/>
    <x v="1"/>
    <d v="2018-09-30T00:00:00"/>
    <d v="2019-09-29T00:00:00"/>
    <s v="Employee Benefits"/>
    <n v="10"/>
    <s v="Mark"/>
    <s v="Ahmedabad"/>
    <x v="3"/>
    <x v="0"/>
    <n v="54000"/>
    <d v="2018-09-30T00:00:00"/>
    <s v="Brokerage"/>
    <s v="Inception"/>
    <m/>
    <d v="2020-01-22T00:00:00"/>
  </r>
  <r>
    <s v="DDD"/>
    <x v="339"/>
    <x v="0"/>
    <d v="2018-12-14T00:00:00"/>
    <d v="2019-12-13T00:00:00"/>
    <s v="Marine"/>
    <n v="12"/>
    <s v="Shivani Sharma"/>
    <s v="Ahmedabad"/>
    <x v="6"/>
    <x v="2"/>
    <n v="5659.5"/>
    <d v="2018-12-14T00:00:00"/>
    <s v="Brokerage"/>
    <s v="Inception"/>
    <m/>
    <d v="2020-01-22T00:00:00"/>
  </r>
  <r>
    <s v="DDD"/>
    <x v="340"/>
    <x v="0"/>
    <d v="2019-04-11T00:00:00"/>
    <d v="2020-04-09T00:00:00"/>
    <s v="Miscellaneous"/>
    <n v="3"/>
    <s v="Animesh Rawat"/>
    <s v="Ahmedabad"/>
    <x v="6"/>
    <x v="2"/>
    <n v="2942.25"/>
    <d v="2019-04-11T00:00:00"/>
    <s v="Brokerage"/>
    <s v="Inception"/>
    <m/>
    <d v="2020-01-22T00:00:00"/>
  </r>
  <r>
    <s v="DDD"/>
    <x v="341"/>
    <x v="1"/>
    <d v="2018-10-24T00:00:00"/>
    <d v="2019-10-23T00:00:00"/>
    <s v="Miscellaneous"/>
    <n v="3"/>
    <s v="Animesh Rawat"/>
    <s v="Ahmedabad"/>
    <x v="6"/>
    <x v="0"/>
    <n v="6335.5"/>
    <d v="2019-10-23T00:00:00"/>
    <s v="Brokerage"/>
    <s v="Inception"/>
    <m/>
    <d v="2020-01-22T00:00:00"/>
  </r>
  <r>
    <s v="DDD"/>
    <x v="342"/>
    <x v="0"/>
    <d v="2019-10-26T00:00:00"/>
    <d v="2020-10-25T00:00:00"/>
    <s v="Miscellaneous"/>
    <n v="3"/>
    <s v="Animesh Rawat"/>
    <s v="Ahmedabad"/>
    <x v="6"/>
    <x v="0"/>
    <n v="2436.75"/>
    <d v="2019-10-26T00:00:00"/>
    <s v="Brokerage"/>
    <s v="Renewal"/>
    <m/>
    <d v="2020-01-22T00:00:00"/>
  </r>
  <r>
    <s v="DDD"/>
    <x v="343"/>
    <x v="1"/>
    <d v="2018-10-24T00:00:00"/>
    <d v="2019-10-23T00:00:00"/>
    <s v="Fire"/>
    <n v="3"/>
    <s v="Animesh Rawat"/>
    <s v="Ahmedabad"/>
    <x v="6"/>
    <x v="0"/>
    <n v="18321.23"/>
    <d v="2018-10-24T00:00:00"/>
    <s v="Brokerage"/>
    <s v="Inception"/>
    <m/>
    <d v="2020-01-22T00:00:00"/>
  </r>
  <r>
    <s v="DDD"/>
    <x v="344"/>
    <x v="0"/>
    <d v="2019-10-25T00:00:00"/>
    <d v="2020-10-24T00:00:00"/>
    <s v="Fire"/>
    <n v="3"/>
    <s v="Animesh Rawat"/>
    <s v="Ahmedabad"/>
    <x v="6"/>
    <x v="0"/>
    <n v="26967.39"/>
    <d v="2019-10-25T00:00:00"/>
    <s v="Brokerage"/>
    <s v="Renewal"/>
    <m/>
    <d v="2020-01-22T00:00:00"/>
  </r>
  <r>
    <s v="DDD"/>
    <x v="345"/>
    <x v="0"/>
    <d v="2018-01-01T00:00:00"/>
    <d v="2018-12-31T00:00:00"/>
    <s v="Miscellaneous"/>
    <n v="3"/>
    <s v="Animesh Rawat"/>
    <s v="Ahmedabad"/>
    <x v="6"/>
    <x v="0"/>
    <n v="159956.76"/>
    <d v="2018-01-01T00:00:00"/>
    <s v="Brokerage"/>
    <s v="Inception"/>
    <m/>
    <d v="2020-01-22T00:00:00"/>
  </r>
  <r>
    <s v="DDD"/>
    <x v="346"/>
    <x v="0"/>
    <d v="2019-01-01T00:00:00"/>
    <d v="2019-12-31T00:00:00"/>
    <s v="Fire"/>
    <n v="3"/>
    <s v="Animesh Rawat"/>
    <s v="Ahmedabad"/>
    <x v="6"/>
    <x v="0"/>
    <n v="0"/>
    <d v="2019-01-01T00:00:00"/>
    <s v="Brokerage"/>
    <s v="Inception"/>
    <m/>
    <d v="2020-01-22T00:00:00"/>
  </r>
  <r>
    <s v="DDD"/>
    <x v="347"/>
    <x v="0"/>
    <d v="2018-05-31T00:00:00"/>
    <d v="2018-09-30T00:00:00"/>
    <s v="Engineering"/>
    <n v="3"/>
    <s v="Animesh Rawat"/>
    <s v="Ahmedabad"/>
    <x v="6"/>
    <x v="0"/>
    <n v="8268.1299999999992"/>
    <d v="2018-09-30T00:00:00"/>
    <s v="Brokerage"/>
    <s v="Inception"/>
    <m/>
    <d v="2020-01-22T00:00:00"/>
  </r>
  <r>
    <s v="DDD"/>
    <x v="348"/>
    <x v="0"/>
    <d v="2019-09-19T00:00:00"/>
    <d v="2020-09-18T00:00:00"/>
    <s v="Miscellaneous"/>
    <n v="3"/>
    <s v="Animesh Rawat"/>
    <s v="Ahmedabad"/>
    <x v="6"/>
    <x v="0"/>
    <n v="12500.13"/>
    <d v="2019-09-19T00:00:00"/>
    <s v="Brokerage"/>
    <s v="Renewal"/>
    <m/>
    <d v="2020-01-22T00:00:00"/>
  </r>
  <r>
    <s v="DDD"/>
    <x v="349"/>
    <x v="0"/>
    <d v="2018-03-27T00:00:00"/>
    <d v="2019-03-26T00:00:00"/>
    <s v="Miscellaneous"/>
    <n v="3"/>
    <s v="Animesh Rawat"/>
    <s v="Ahmedabad"/>
    <x v="6"/>
    <x v="0"/>
    <n v="10584.15"/>
    <d v="2018-03-27T00:00:00"/>
    <s v="Brokerage"/>
    <s v="Inception"/>
    <m/>
    <d v="2020-01-22T00:00:00"/>
  </r>
  <r>
    <s v="DDD"/>
    <x v="349"/>
    <x v="0"/>
    <d v="2019-01-02T00:00:00"/>
    <d v="2019-12-31T00:00:00"/>
    <s v="Liability"/>
    <n v="3"/>
    <s v="Animesh Rawat"/>
    <s v="Ahmedabad"/>
    <x v="6"/>
    <x v="0"/>
    <n v="14393.8"/>
    <d v="2019-01-02T00:00:00"/>
    <s v="Brokerage"/>
    <s v="Inception"/>
    <m/>
    <d v="2020-01-22T00:00:00"/>
  </r>
  <r>
    <s v="DDD"/>
    <x v="350"/>
    <x v="1"/>
    <d v="2018-05-15T00:00:00"/>
    <d v="2019-05-14T00:00:00"/>
    <s v="Miscellaneous"/>
    <n v="3"/>
    <s v="Animesh Rawat"/>
    <s v="Ahmedabad"/>
    <x v="6"/>
    <x v="0"/>
    <n v="691.85"/>
    <d v="2018-05-15T00:00:00"/>
    <s v="Brokerage"/>
    <s v="Inception"/>
    <m/>
    <d v="2020-01-22T00:00:00"/>
  </r>
  <r>
    <s v="DDD"/>
    <x v="351"/>
    <x v="0"/>
    <d v="2019-05-15T00:00:00"/>
    <d v="2020-05-14T00:00:00"/>
    <s v="Miscellaneous"/>
    <n v="3"/>
    <s v="Animesh Rawat"/>
    <s v="Ahmedabad"/>
    <x v="6"/>
    <x v="0"/>
    <n v="691.85"/>
    <d v="2019-05-15T00:00:00"/>
    <s v="Brokerage"/>
    <s v="Renewal"/>
    <m/>
    <d v="2020-01-22T00:00:00"/>
  </r>
  <r>
    <s v="DDD"/>
    <x v="352"/>
    <x v="0"/>
    <d v="2017-08-22T00:00:00"/>
    <d v="2018-08-21T00:00:00"/>
    <s v="Miscellaneous"/>
    <n v="3"/>
    <s v="Animesh Rawat"/>
    <s v="Ahmedabad"/>
    <x v="6"/>
    <x v="0"/>
    <n v="10964.79"/>
    <d v="2017-08-22T00:00:00"/>
    <s v="Brokerage"/>
    <s v="Inception"/>
    <m/>
    <d v="2020-01-22T00:00:00"/>
  </r>
  <r>
    <s v="DDD"/>
    <x v="353"/>
    <x v="1"/>
    <d v="2018-08-22T00:00:00"/>
    <d v="2019-08-21T00:00:00"/>
    <s v="Miscellaneous"/>
    <n v="3"/>
    <s v="Animesh Rawat"/>
    <s v="Ahmedabad"/>
    <x v="6"/>
    <x v="0"/>
    <n v="13630.7"/>
    <d v="2019-08-21T00:00:00"/>
    <s v="Brokerage"/>
    <s v="Inception"/>
    <m/>
    <d v="2020-01-22T00:00:00"/>
  </r>
  <r>
    <s v="DDD"/>
    <x v="354"/>
    <x v="0"/>
    <d v="2019-09-30T00:00:00"/>
    <d v="2020-09-29T00:00:00"/>
    <s v="Employee Benefits"/>
    <n v="10"/>
    <s v="Mark"/>
    <s v="Ahmedabad"/>
    <x v="3"/>
    <x v="0"/>
    <n v="123750"/>
    <d v="2019-09-30T00:00:00"/>
    <s v="Brokerage"/>
    <s v="Renewal"/>
    <m/>
    <d v="2020-01-22T00:00:00"/>
  </r>
  <r>
    <s v="DDD"/>
    <x v="355"/>
    <x v="1"/>
    <d v="2018-05-26T00:00:00"/>
    <d v="2019-05-25T00:00:00"/>
    <s v="Engineering"/>
    <n v="12"/>
    <s v="Shivani Sharma"/>
    <s v="Ahmedabad"/>
    <x v="6"/>
    <x v="0"/>
    <n v="869.63"/>
    <d v="2018-05-26T00:00:00"/>
    <s v="Brokerage"/>
    <s v="Inception"/>
    <m/>
    <d v="2020-01-22T00:00:00"/>
  </r>
  <r>
    <s v="DDD"/>
    <x v="356"/>
    <x v="0"/>
    <d v="2019-05-26T00:00:00"/>
    <d v="2020-05-25T00:00:00"/>
    <s v="Engineering"/>
    <n v="3"/>
    <s v="Animesh Rawat"/>
    <s v="Ahmedabad"/>
    <x v="6"/>
    <x v="0"/>
    <n v="869.63"/>
    <d v="2019-05-26T00:00:00"/>
    <s v="Brokerage"/>
    <s v="Renewal"/>
    <m/>
    <d v="2020-01-22T00:00:00"/>
  </r>
  <r>
    <s v="DDD"/>
    <x v="357"/>
    <x v="0"/>
    <d v="2018-02-16T00:00:00"/>
    <d v="2019-02-15T00:00:00"/>
    <s v="Liability"/>
    <n v="3"/>
    <s v="Animesh Rawat"/>
    <s v="Ahmedabad"/>
    <x v="6"/>
    <x v="0"/>
    <n v="1562.5"/>
    <d v="2019-02-16T00:00:00"/>
    <s v="Brokerage"/>
    <s v="Inception"/>
    <m/>
    <d v="2020-01-22T00:00:00"/>
  </r>
  <r>
    <s v="DDD"/>
    <x v="358"/>
    <x v="1"/>
    <d v="2019-01-01T00:00:00"/>
    <d v="2019-12-31T00:00:00"/>
    <s v="Miscellaneous"/>
    <n v="4"/>
    <s v="Gilbert"/>
    <s v="Ahmedabad"/>
    <x v="7"/>
    <x v="0"/>
    <n v="43367"/>
    <d v="2019-07-01T00:00:00"/>
    <s v="Brokerage"/>
    <s v="Lapse"/>
    <s v="GMAN â€“ Global Mandate"/>
    <d v="2020-01-22T00:00:00"/>
  </r>
  <r>
    <s v="DDD"/>
    <x v="358"/>
    <x v="1"/>
    <d v="2019-01-01T00:00:00"/>
    <d v="2019-12-31T00:00:00"/>
    <s v="Miscellaneous"/>
    <n v="4"/>
    <s v="Gilbert"/>
    <s v="Ahmedabad"/>
    <x v="7"/>
    <x v="0"/>
    <n v="43367"/>
    <d v="2019-10-01T00:00:00"/>
    <s v="Brokerage"/>
    <s v="Lapse"/>
    <s v="GMAN â€“ Global Mandate"/>
    <d v="2020-01-22T00:00:00"/>
  </r>
  <r>
    <s v="DDD"/>
    <x v="358"/>
    <x v="1"/>
    <d v="2019-01-01T00:00:00"/>
    <d v="2019-12-31T00:00:00"/>
    <s v="Miscellaneous"/>
    <n v="4"/>
    <s v="Gilbert"/>
    <s v="Ahmedabad"/>
    <x v="7"/>
    <x v="0"/>
    <n v="65050.5"/>
    <d v="2019-01-01T00:00:00"/>
    <s v="Brokerage"/>
    <s v="Lapse"/>
    <s v="GMAN â€“ Global Mandate"/>
    <d v="2020-01-22T00:00:00"/>
  </r>
  <r>
    <s v="DDD"/>
    <x v="358"/>
    <x v="1"/>
    <d v="2019-01-01T00:00:00"/>
    <d v="2019-12-31T00:00:00"/>
    <s v="Miscellaneous"/>
    <n v="4"/>
    <s v="Gilbert"/>
    <s v="Ahmedabad"/>
    <x v="7"/>
    <x v="0"/>
    <n v="65050.5"/>
    <d v="2019-04-01T00:00:00"/>
    <s v="Brokerage"/>
    <s v="Lapse"/>
    <s v="GMAN â€“ Global Mandate"/>
    <d v="2020-01-22T00:00:00"/>
  </r>
  <r>
    <s v="DDD"/>
    <x v="359"/>
    <x v="1"/>
    <d v="2019-01-01T00:00:00"/>
    <d v="2019-12-31T00:00:00"/>
    <s v="Miscellaneous"/>
    <n v="4"/>
    <s v="Gilbert"/>
    <s v="Ahmedabad"/>
    <x v="7"/>
    <x v="0"/>
    <n v="10824.4"/>
    <d v="2019-07-01T00:00:00"/>
    <s v="Brokerage"/>
    <s v="Lapse"/>
    <s v="GMAN â€“ Global Mandate"/>
    <d v="2020-01-22T00:00:00"/>
  </r>
  <r>
    <s v="DDD"/>
    <x v="359"/>
    <x v="1"/>
    <d v="2019-01-01T00:00:00"/>
    <d v="2019-12-31T00:00:00"/>
    <s v="Miscellaneous"/>
    <n v="4"/>
    <s v="Gilbert"/>
    <s v="Ahmedabad"/>
    <x v="7"/>
    <x v="0"/>
    <n v="10824.4"/>
    <d v="2019-10-01T00:00:00"/>
    <s v="Brokerage"/>
    <s v="Lapse"/>
    <s v="GMAN â€“ Global Mandate"/>
    <d v="2020-01-22T00:00:00"/>
  </r>
  <r>
    <s v="DDD"/>
    <x v="359"/>
    <x v="1"/>
    <d v="2019-01-01T00:00:00"/>
    <d v="2019-12-31T00:00:00"/>
    <s v="Miscellaneous"/>
    <n v="4"/>
    <s v="Gilbert"/>
    <s v="Ahmedabad"/>
    <x v="7"/>
    <x v="0"/>
    <n v="16236.6"/>
    <d v="2019-01-01T00:00:00"/>
    <s v="Brokerage"/>
    <s v="Lapse"/>
    <s v="GMAN â€“ Global Mandate"/>
    <d v="2020-01-22T00:00:00"/>
  </r>
  <r>
    <s v="DDD"/>
    <x v="359"/>
    <x v="1"/>
    <d v="2019-01-01T00:00:00"/>
    <d v="2019-12-31T00:00:00"/>
    <s v="Miscellaneous"/>
    <n v="4"/>
    <s v="Gilbert"/>
    <s v="Ahmedabad"/>
    <x v="7"/>
    <x v="0"/>
    <n v="16236.6"/>
    <d v="2019-04-01T00:00:00"/>
    <s v="Brokerage"/>
    <s v="Lapse"/>
    <s v="GMAN â€“ Global Mandate"/>
    <d v="2020-01-22T00:00:00"/>
  </r>
  <r>
    <s v="DDD"/>
    <x v="360"/>
    <x v="1"/>
    <d v="2018-01-01T00:00:00"/>
    <d v="2018-12-31T00:00:00"/>
    <s v="Marine"/>
    <n v="3"/>
    <s v="Animesh Rawat"/>
    <s v="Ahmedabad"/>
    <x v="6"/>
    <x v="0"/>
    <n v="36612.18"/>
    <d v="2018-01-01T00:00:00"/>
    <s v="Brokerage"/>
    <s v="Inception"/>
    <m/>
    <d v="2020-01-22T00:00:00"/>
  </r>
  <r>
    <s v="DDD"/>
    <x v="361"/>
    <x v="1"/>
    <d v="2018-01-01T00:00:00"/>
    <d v="2018-12-31T00:00:00"/>
    <s v="Liability"/>
    <n v="3"/>
    <s v="Animesh Rawat"/>
    <s v="Ahmedabad"/>
    <x v="6"/>
    <x v="0"/>
    <n v="28735.65"/>
    <d v="2018-01-01T00:00:00"/>
    <s v="Brokerage"/>
    <s v="Inception"/>
    <m/>
    <d v="2020-01-22T00:00:00"/>
  </r>
  <r>
    <s v="DDD"/>
    <x v="362"/>
    <x v="0"/>
    <d v="2019-01-01T00:00:00"/>
    <d v="2019-12-31T00:00:00"/>
    <s v="Marine"/>
    <n v="3"/>
    <s v="Animesh Rawat"/>
    <s v="Ahmedabad"/>
    <x v="6"/>
    <x v="0"/>
    <n v="53277.919999999998"/>
    <d v="2019-01-01T00:00:00"/>
    <s v="Brokerage"/>
    <s v="Renewal"/>
    <m/>
    <d v="2020-01-22T00:00:00"/>
  </r>
  <r>
    <s v="DDD"/>
    <x v="363"/>
    <x v="0"/>
    <d v="2019-01-01T00:00:00"/>
    <d v="2019-12-31T00:00:00"/>
    <s v="Liability"/>
    <n v="3"/>
    <s v="Animesh Rawat"/>
    <s v="Ahmedabad"/>
    <x v="6"/>
    <x v="0"/>
    <n v="30048.080000000002"/>
    <d v="2019-01-01T00:00:00"/>
    <s v="Brokerage"/>
    <s v="Renewal"/>
    <m/>
    <d v="2020-01-22T00:00:00"/>
  </r>
  <r>
    <s v="DDD"/>
    <x v="364"/>
    <x v="0"/>
    <d v="2019-01-21T00:00:00"/>
    <d v="2020-01-20T00:00:00"/>
    <s v="Employee Benefits"/>
    <n v="3"/>
    <s v="Animesh Rawat"/>
    <s v="Ahmedabad"/>
    <x v="6"/>
    <x v="2"/>
    <n v="15084.15"/>
    <d v="2019-01-21T00:00:00"/>
    <s v="Brokerage"/>
    <s v="Inception"/>
    <m/>
    <d v="2020-01-22T00:00:00"/>
  </r>
  <r>
    <s v="DDD"/>
    <x v="365"/>
    <x v="1"/>
    <d v="2018-02-07T00:00:00"/>
    <d v="2019-02-06T00:00:00"/>
    <s v="Miscellaneous"/>
    <n v="1"/>
    <s v="Vinay"/>
    <s v="Ahmedabad"/>
    <x v="2"/>
    <x v="2"/>
    <n v="1013.88"/>
    <d v="2018-02-07T00:00:00"/>
    <s v="Brokerage"/>
    <s v="Lapse"/>
    <s v="NOLN - No Longer Needed"/>
    <d v="2020-01-22T00:00:00"/>
  </r>
  <r>
    <s v="DDD"/>
    <x v="366"/>
    <x v="1"/>
    <d v="2018-02-07T00:00:00"/>
    <d v="2019-02-06T00:00:00"/>
    <s v="Miscellaneous"/>
    <n v="1"/>
    <s v="Vinay"/>
    <s v="Ahmedabad"/>
    <x v="2"/>
    <x v="2"/>
    <n v="1601.5"/>
    <d v="2018-02-07T00:00:00"/>
    <s v="Brokerage"/>
    <s v="Lapse"/>
    <s v="JCOM - Job Completed"/>
    <d v="2020-01-22T00:00:00"/>
  </r>
  <r>
    <s v="DDD"/>
    <x v="367"/>
    <x v="1"/>
    <d v="2018-07-03T00:00:00"/>
    <d v="2019-07-02T00:00:00"/>
    <s v="Liability"/>
    <n v="1"/>
    <s v="Vinay"/>
    <s v="Ahmedabad"/>
    <x v="2"/>
    <x v="0"/>
    <n v="37500"/>
    <d v="2018-07-03T00:00:00"/>
    <s v="Brokerage"/>
    <s v="Inception"/>
    <m/>
    <d v="2020-01-22T00:00:00"/>
  </r>
  <r>
    <s v="DDD"/>
    <x v="368"/>
    <x v="0"/>
    <d v="2019-07-03T00:00:00"/>
    <d v="2020-07-02T00:00:00"/>
    <s v="Liability"/>
    <n v="1"/>
    <s v="Vinay"/>
    <s v="Ahmedabad"/>
    <x v="2"/>
    <x v="0"/>
    <n v="35000"/>
    <d v="2019-07-03T00:00:00"/>
    <s v="Brokerage"/>
    <s v="Renewal"/>
    <m/>
    <d v="2020-01-22T00:00:00"/>
  </r>
  <r>
    <s v="DDD"/>
    <x v="369"/>
    <x v="1"/>
    <d v="2017-02-26T00:00:00"/>
    <d v="2018-02-25T00:00:00"/>
    <s v="Fire"/>
    <n v="1"/>
    <s v="Vinay"/>
    <s v="Ahmedabad"/>
    <x v="1"/>
    <x v="2"/>
    <n v="992.51"/>
    <d v="2018-02-25T00:00:00"/>
    <s v="Brokerage"/>
    <s v="Lapse"/>
    <s v="OTHR â€“ Other"/>
    <d v="2020-01-22T00:00:00"/>
  </r>
  <r>
    <s v="DDD"/>
    <x v="369"/>
    <x v="0"/>
    <d v="2017-02-26T00:00:00"/>
    <d v="2018-02-25T00:00:00"/>
    <s v="Fire"/>
    <n v="1"/>
    <s v="Vinay"/>
    <s v="Ahmedabad"/>
    <x v="1"/>
    <x v="2"/>
    <n v="992.51"/>
    <d v="2018-02-25T00:00:00"/>
    <s v="Brokerage"/>
    <s v="Inception"/>
    <m/>
    <d v="2020-01-22T00:00:00"/>
  </r>
  <r>
    <s v="DDD"/>
    <x v="369"/>
    <x v="1"/>
    <d v="2016-12-31T00:00:00"/>
    <d v="2017-12-30T00:00:00"/>
    <s v="Fire"/>
    <n v="1"/>
    <s v="Vinay"/>
    <s v="Ahmedabad"/>
    <x v="1"/>
    <x v="2"/>
    <n v="377079.15"/>
    <d v="2016-12-31T00:00:00"/>
    <s v="Brokerage"/>
    <s v="Lapse"/>
    <s v="OTHR â€“ Other"/>
    <d v="2020-01-22T00:00:00"/>
  </r>
  <r>
    <s v="DDD"/>
    <x v="370"/>
    <x v="1"/>
    <d v="2017-06-28T00:00:00"/>
    <d v="2018-06-27T00:00:00"/>
    <s v="Fire"/>
    <n v="1"/>
    <s v="Vinay"/>
    <s v="Ahmedabad"/>
    <x v="1"/>
    <x v="2"/>
    <n v="61251.58"/>
    <d v="2017-06-28T00:00:00"/>
    <s v="Brokerage"/>
    <s v="Inception"/>
    <m/>
    <d v="2020-01-22T00:00:00"/>
  </r>
  <r>
    <s v="DDD"/>
    <x v="371"/>
    <x v="1"/>
    <d v="2017-06-28T00:00:00"/>
    <d v="2018-06-27T00:00:00"/>
    <s v="Fire"/>
    <n v="1"/>
    <s v="Vinay"/>
    <s v="Ahmedabad"/>
    <x v="1"/>
    <x v="2"/>
    <n v="62070.81"/>
    <d v="2017-06-28T00:00:00"/>
    <s v="Brokerage"/>
    <s v="Inception"/>
    <m/>
    <d v="2020-01-22T00:00:00"/>
  </r>
  <r>
    <s v="DDD"/>
    <x v="370"/>
    <x v="0"/>
    <d v="2017-07-06T00:00:00"/>
    <d v="2018-07-05T00:00:00"/>
    <s v="Fire"/>
    <n v="1"/>
    <s v="Vinay"/>
    <s v="Ahmedabad"/>
    <x v="1"/>
    <x v="2"/>
    <n v="1261.8399999999999"/>
    <d v="2017-07-06T00:00:00"/>
    <s v="Brokerage"/>
    <s v="Inception"/>
    <m/>
    <d v="2020-01-22T00:00:00"/>
  </r>
  <r>
    <s v="DDD"/>
    <x v="370"/>
    <x v="1"/>
    <d v="2018-01-01T00:00:00"/>
    <d v="2018-12-31T00:00:00"/>
    <s v="Fire"/>
    <n v="1"/>
    <s v="Vinay"/>
    <s v="Ahmedabad"/>
    <x v="1"/>
    <x v="2"/>
    <n v="349157.16"/>
    <d v="2018-01-01T00:00:00"/>
    <s v="Brokerage"/>
    <s v="Lapse"/>
    <s v="OTHR â€“ Other"/>
    <d v="2020-01-22T00:00:00"/>
  </r>
  <r>
    <s v="DDD"/>
    <x v="372"/>
    <x v="1"/>
    <d v="2018-02-14T00:00:00"/>
    <d v="2019-02-13T00:00:00"/>
    <s v="Fire"/>
    <n v="1"/>
    <s v="Vinay"/>
    <s v="Ahmedabad"/>
    <x v="4"/>
    <x v="0"/>
    <n v="107689.68"/>
    <d v="2018-02-14T00:00:00"/>
    <s v="Brokerage"/>
    <s v="Inception"/>
    <m/>
    <d v="2020-01-22T00:00:00"/>
  </r>
  <r>
    <s v="DDD"/>
    <x v="373"/>
    <x v="1"/>
    <d v="2018-07-20T00:00:00"/>
    <d v="2019-07-19T00:00:00"/>
    <s v="Fire"/>
    <n v="1"/>
    <s v="Vinay"/>
    <s v="Ahmedabad"/>
    <x v="4"/>
    <x v="0"/>
    <n v="5417.97"/>
    <d v="2018-07-20T00:00:00"/>
    <s v="Brokerage"/>
    <s v="Inception"/>
    <m/>
    <d v="2020-01-22T00:00:00"/>
  </r>
  <r>
    <s v="DDD"/>
    <x v="374"/>
    <x v="1"/>
    <d v="2018-06-28T00:00:00"/>
    <d v="2019-06-27T00:00:00"/>
    <s v="Fire"/>
    <n v="1"/>
    <s v="Vinay"/>
    <s v="Ahmedabad"/>
    <x v="1"/>
    <x v="2"/>
    <n v="61936.46"/>
    <d v="2018-06-28T00:00:00"/>
    <s v="Brokerage"/>
    <s v="Renewal"/>
    <m/>
    <d v="2020-01-22T00:00:00"/>
  </r>
  <r>
    <s v="DDD"/>
    <x v="374"/>
    <x v="1"/>
    <d v="2018-06-28T00:00:00"/>
    <d v="2019-06-27T00:00:00"/>
    <s v="Fire"/>
    <n v="1"/>
    <s v="Vinay"/>
    <s v="Ahmedabad"/>
    <x v="1"/>
    <x v="2"/>
    <n v="56276.26"/>
    <d v="2018-06-28T00:00:00"/>
    <s v="Brokerage"/>
    <s v="Renewal"/>
    <m/>
    <d v="2020-01-22T00:00:00"/>
  </r>
  <r>
    <s v="DDD"/>
    <x v="375"/>
    <x v="0"/>
    <d v="2019-01-01T00:00:00"/>
    <d v="2019-12-31T00:00:00"/>
    <s v="Fire"/>
    <n v="1"/>
    <s v="Vinay"/>
    <s v="Ahmedabad"/>
    <x v="1"/>
    <x v="2"/>
    <n v="399509.89"/>
    <d v="2019-01-01T00:00:00"/>
    <s v="Brokerage"/>
    <s v="Renewal"/>
    <m/>
    <d v="2020-01-22T00:00:00"/>
  </r>
  <r>
    <s v="DDD"/>
    <x v="376"/>
    <x v="0"/>
    <d v="2019-01-16T00:00:00"/>
    <d v="2020-01-15T00:00:00"/>
    <s v="Fire"/>
    <n v="1"/>
    <s v="Vinay"/>
    <s v="Ahmedabad"/>
    <x v="4"/>
    <x v="0"/>
    <n v="98931.05"/>
    <d v="2019-01-16T00:00:00"/>
    <s v="Brokerage"/>
    <s v="Inception"/>
    <m/>
    <d v="2020-01-22T00:00:00"/>
  </r>
  <r>
    <s v="DDD"/>
    <x v="377"/>
    <x v="0"/>
    <d v="2019-02-14T00:00:00"/>
    <d v="2020-02-13T00:00:00"/>
    <s v="Fire"/>
    <n v="1"/>
    <s v="Vinay"/>
    <s v="Ahmedabad"/>
    <x v="4"/>
    <x v="0"/>
    <n v="1610"/>
    <d v="2019-02-14T00:00:00"/>
    <s v="Brokerage"/>
    <s v="Inception"/>
    <m/>
    <d v="2020-01-22T00:00:00"/>
  </r>
  <r>
    <s v="DDD"/>
    <x v="378"/>
    <x v="0"/>
    <d v="2019-02-14T00:00:00"/>
    <d v="2020-02-13T00:00:00"/>
    <s v="Fire"/>
    <n v="1"/>
    <s v="Vinay"/>
    <s v="Ahmedabad"/>
    <x v="4"/>
    <x v="0"/>
    <n v="131090.46"/>
    <d v="2019-02-26T00:00:00"/>
    <s v="Brokerage"/>
    <s v="Renewal"/>
    <m/>
    <d v="2020-01-22T00:00:00"/>
  </r>
  <r>
    <s v="DDD"/>
    <x v="379"/>
    <x v="0"/>
    <d v="2019-03-16T00:00:00"/>
    <d v="2020-03-15T00:00:00"/>
    <s v="Fire"/>
    <n v="1"/>
    <s v="Vinay"/>
    <s v="Ahmedabad"/>
    <x v="4"/>
    <x v="0"/>
    <n v="2056.4299999999998"/>
    <d v="2019-03-16T00:00:00"/>
    <s v="Brokerage"/>
    <s v="Inception"/>
    <m/>
    <d v="2020-01-22T00:00:00"/>
  </r>
  <r>
    <s v="DDD"/>
    <x v="380"/>
    <x v="0"/>
    <d v="2019-03-12T00:00:00"/>
    <d v="2020-03-11T00:00:00"/>
    <s v="Fire"/>
    <n v="1"/>
    <s v="Vinay"/>
    <s v="Ahmedabad"/>
    <x v="4"/>
    <x v="0"/>
    <n v="1194.28"/>
    <d v="2019-03-12T00:00:00"/>
    <s v="Brokerage"/>
    <s v="Inception"/>
    <m/>
    <d v="2020-01-22T00:00:00"/>
  </r>
  <r>
    <s v="DDD"/>
    <x v="381"/>
    <x v="0"/>
    <d v="2019-06-28T00:00:00"/>
    <d v="2020-06-27T00:00:00"/>
    <s v="Fire"/>
    <n v="1"/>
    <s v="Vinay"/>
    <s v="Ahmedabad"/>
    <x v="1"/>
    <x v="2"/>
    <n v="75395.039999999994"/>
    <d v="2019-06-28T00:00:00"/>
    <s v="Brokerage"/>
    <s v="Renewal"/>
    <m/>
    <d v="2020-01-22T00:00:00"/>
  </r>
  <r>
    <s v="DDD"/>
    <x v="382"/>
    <x v="0"/>
    <d v="2019-06-28T00:00:00"/>
    <d v="2020-06-27T00:00:00"/>
    <s v="Fire"/>
    <n v="1"/>
    <s v="Vinay"/>
    <s v="Ahmedabad"/>
    <x v="1"/>
    <x v="2"/>
    <n v="53595"/>
    <d v="2019-06-28T00:00:00"/>
    <s v="Brokerage"/>
    <s v="Renewal"/>
    <m/>
    <d v="2020-01-22T00:00:00"/>
  </r>
  <r>
    <s v="DDD"/>
    <x v="383"/>
    <x v="0"/>
    <d v="2019-07-20T00:00:00"/>
    <d v="2020-07-19T00:00:00"/>
    <s v="Fire"/>
    <n v="1"/>
    <s v="Vinay"/>
    <s v="Ahmedabad"/>
    <x v="4"/>
    <x v="0"/>
    <n v="6595.25"/>
    <d v="2019-07-20T00:00:00"/>
    <s v="Brokerage"/>
    <s v="Renewal"/>
    <m/>
    <d v="2020-01-22T00:00:00"/>
  </r>
  <r>
    <s v="DDD"/>
    <x v="384"/>
    <x v="0"/>
    <d v="2017-06-06T00:00:00"/>
    <d v="2018-06-05T00:00:00"/>
    <s v="Marine"/>
    <n v="1"/>
    <s v="Vinay"/>
    <s v="Ahmedabad"/>
    <x v="1"/>
    <x v="2"/>
    <n v="2887.38"/>
    <d v="2017-07-06T00:00:00"/>
    <s v="Brokerage"/>
    <s v="Inception"/>
    <m/>
    <d v="2020-01-22T00:00:00"/>
  </r>
  <r>
    <s v="DDD"/>
    <x v="385"/>
    <x v="0"/>
    <d v="2019-01-29T00:00:00"/>
    <d v="2020-01-28T00:00:00"/>
    <s v="Marine"/>
    <n v="1"/>
    <s v="Vinay"/>
    <s v="Ahmedabad"/>
    <x v="0"/>
    <x v="2"/>
    <n v="11539.77"/>
    <d v="2019-01-29T00:00:00"/>
    <s v="Brokerage"/>
    <s v="Inception"/>
    <m/>
    <d v="2020-01-22T00:00:00"/>
  </r>
  <r>
    <s v="DDD"/>
    <x v="386"/>
    <x v="0"/>
    <d v="2019-02-01T00:00:00"/>
    <d v="2020-01-31T00:00:00"/>
    <s v="Liability"/>
    <n v="1"/>
    <s v="Vinay"/>
    <s v="Ahmedabad"/>
    <x v="2"/>
    <x v="2"/>
    <n v="21875"/>
    <d v="2019-02-01T00:00:00"/>
    <s v="Brokerage"/>
    <s v="Inception"/>
    <m/>
    <d v="2020-01-22T00:00:00"/>
  </r>
  <r>
    <s v="DDD"/>
    <x v="387"/>
    <x v="0"/>
    <d v="2017-01-09T00:00:00"/>
    <d v="2019-01-08T00:00:00"/>
    <s v="Engineering"/>
    <n v="1"/>
    <s v="Vinay"/>
    <s v="Ahmedabad"/>
    <x v="1"/>
    <x v="2"/>
    <n v="8588.56"/>
    <d v="2017-04-10T00:00:00"/>
    <s v="Brokerage"/>
    <s v="Inception"/>
    <m/>
    <d v="2020-01-22T00:00:00"/>
  </r>
  <r>
    <s v="DDD"/>
    <x v="387"/>
    <x v="0"/>
    <d v="2017-02-08T00:00:00"/>
    <d v="2018-08-07T00:00:00"/>
    <s v="Engineering"/>
    <n v="1"/>
    <s v="Vinay"/>
    <s v="Ahmedabad"/>
    <x v="1"/>
    <x v="2"/>
    <n v="3050.6"/>
    <d v="2017-02-08T00:00:00"/>
    <s v="Brokerage"/>
    <s v="Inception"/>
    <m/>
    <d v="2020-01-22T00:00:00"/>
  </r>
  <r>
    <s v="DDD"/>
    <x v="387"/>
    <x v="0"/>
    <d v="2017-02-08T00:00:00"/>
    <d v="2018-08-07T00:00:00"/>
    <s v="Engineering"/>
    <n v="1"/>
    <s v="Vinay"/>
    <s v="Ahmedabad"/>
    <x v="1"/>
    <x v="2"/>
    <n v="3050.6"/>
    <d v="2017-08-07T00:00:00"/>
    <s v="Brokerage"/>
    <s v="Inception"/>
    <m/>
    <d v="2020-01-22T00:00:00"/>
  </r>
  <r>
    <s v="DDD"/>
    <x v="387"/>
    <x v="0"/>
    <d v="2016-10-20T00:00:00"/>
    <d v="2018-04-19T00:00:00"/>
    <s v="Engineering"/>
    <n v="1"/>
    <s v="Vinay"/>
    <s v="Ahmedabad"/>
    <x v="1"/>
    <x v="2"/>
    <n v="40309.5"/>
    <d v="2017-12-30T00:00:00"/>
    <s v="Brokerage"/>
    <s v="Inception"/>
    <m/>
    <d v="2020-01-22T00:00:00"/>
  </r>
  <r>
    <s v="DDD"/>
    <x v="387"/>
    <x v="0"/>
    <d v="2016-10-20T00:00:00"/>
    <d v="2018-04-19T00:00:00"/>
    <s v="Engineering"/>
    <n v="1"/>
    <s v="Vinay"/>
    <s v="Ahmedabad"/>
    <x v="1"/>
    <x v="2"/>
    <n v="40309.68"/>
    <d v="2017-02-06T00:00:00"/>
    <s v="Brokerage"/>
    <s v="Inception"/>
    <m/>
    <d v="2020-01-22T00:00:00"/>
  </r>
  <r>
    <s v="DDD"/>
    <x v="387"/>
    <x v="0"/>
    <d v="2016-10-20T00:00:00"/>
    <d v="2018-04-19T00:00:00"/>
    <s v="Engineering"/>
    <n v="1"/>
    <s v="Vinay"/>
    <s v="Ahmedabad"/>
    <x v="1"/>
    <x v="2"/>
    <n v="40309.68"/>
    <d v="2017-05-25T00:00:00"/>
    <s v="Brokerage"/>
    <s v="Inception"/>
    <m/>
    <d v="2020-01-22T00:00:00"/>
  </r>
  <r>
    <s v="DDD"/>
    <x v="387"/>
    <x v="0"/>
    <d v="2016-10-20T00:00:00"/>
    <d v="2018-04-19T00:00:00"/>
    <s v="Engineering"/>
    <n v="1"/>
    <s v="Vinay"/>
    <s v="Ahmedabad"/>
    <x v="1"/>
    <x v="2"/>
    <n v="40309.68"/>
    <d v="2017-09-12T00:00:00"/>
    <s v="Brokerage"/>
    <s v="Inception"/>
    <m/>
    <d v="2020-01-22T00:00:00"/>
  </r>
  <r>
    <s v="DDD"/>
    <x v="387"/>
    <x v="0"/>
    <d v="2016-10-20T00:00:00"/>
    <d v="2018-04-19T00:00:00"/>
    <s v="Engineering"/>
    <n v="1"/>
    <s v="Vinay"/>
    <s v="Ahmedabad"/>
    <x v="1"/>
    <x v="2"/>
    <n v="50909.599999999999"/>
    <d v="2016-10-20T00:00:00"/>
    <s v="Brokerage"/>
    <s v="Inception"/>
    <m/>
    <d v="2020-01-22T00:00:00"/>
  </r>
  <r>
    <s v="DDD"/>
    <x v="387"/>
    <x v="0"/>
    <d v="2016-12-27T00:00:00"/>
    <d v="2018-07-26T00:00:00"/>
    <s v="Engineering"/>
    <n v="1"/>
    <s v="Vinay"/>
    <s v="Ahmedabad"/>
    <x v="1"/>
    <x v="2"/>
    <n v="31079.56"/>
    <d v="2017-03-27T00:00:00"/>
    <s v="Brokerage"/>
    <s v="Inception"/>
    <m/>
    <d v="2020-01-22T00:00:00"/>
  </r>
  <r>
    <s v="DDD"/>
    <x v="387"/>
    <x v="0"/>
    <d v="2016-12-27T00:00:00"/>
    <d v="2018-07-26T00:00:00"/>
    <s v="Engineering"/>
    <n v="1"/>
    <s v="Vinay"/>
    <s v="Ahmedabad"/>
    <x v="1"/>
    <x v="2"/>
    <n v="31079.56"/>
    <d v="2017-06-27T00:00:00"/>
    <s v="Brokerage"/>
    <s v="Inception"/>
    <m/>
    <d v="2020-01-22T00:00:00"/>
  </r>
  <r>
    <s v="DDD"/>
    <x v="387"/>
    <x v="0"/>
    <d v="2016-12-27T00:00:00"/>
    <d v="2018-07-26T00:00:00"/>
    <s v="Engineering"/>
    <n v="1"/>
    <s v="Vinay"/>
    <s v="Ahmedabad"/>
    <x v="1"/>
    <x v="2"/>
    <n v="31079.56"/>
    <d v="2017-09-27T00:00:00"/>
    <s v="Brokerage"/>
    <s v="Inception"/>
    <m/>
    <d v="2020-01-22T00:00:00"/>
  </r>
  <r>
    <s v="DDD"/>
    <x v="387"/>
    <x v="0"/>
    <d v="2016-12-27T00:00:00"/>
    <d v="2018-07-26T00:00:00"/>
    <s v="Engineering"/>
    <n v="1"/>
    <s v="Vinay"/>
    <s v="Ahmedabad"/>
    <x v="1"/>
    <x v="2"/>
    <n v="31088.49"/>
    <d v="2017-12-27T00:00:00"/>
    <s v="Brokerage"/>
    <s v="Inception"/>
    <m/>
    <d v="2020-01-22T00:00:00"/>
  </r>
  <r>
    <s v="DDD"/>
    <x v="387"/>
    <x v="0"/>
    <d v="2016-12-27T00:00:00"/>
    <d v="2018-07-26T00:00:00"/>
    <s v="Engineering"/>
    <n v="1"/>
    <s v="Vinay"/>
    <s v="Ahmedabad"/>
    <x v="1"/>
    <x v="2"/>
    <n v="39249.53"/>
    <d v="2016-12-27T00:00:00"/>
    <s v="Brokerage"/>
    <s v="Inception"/>
    <m/>
    <d v="2020-01-22T00:00:00"/>
  </r>
  <r>
    <s v="DDD"/>
    <x v="388"/>
    <x v="0"/>
    <d v="2017-03-29T00:00:00"/>
    <d v="2018-03-28T00:00:00"/>
    <s v="Miscellaneous"/>
    <n v="1"/>
    <s v="Vinay"/>
    <s v="Ahmedabad"/>
    <x v="1"/>
    <x v="2"/>
    <n v="8961.75"/>
    <d v="2017-03-29T00:00:00"/>
    <s v="Brokerage"/>
    <s v="Inception"/>
    <m/>
    <d v="2020-01-22T00:00:00"/>
  </r>
  <r>
    <s v="DDD"/>
    <x v="389"/>
    <x v="0"/>
    <d v="2017-08-07T00:00:00"/>
    <d v="2018-08-06T00:00:00"/>
    <s v="Engineering"/>
    <n v="1"/>
    <s v="Vinay"/>
    <s v="Ahmedabad"/>
    <x v="1"/>
    <x v="2"/>
    <n v="877.71"/>
    <d v="2018-08-06T00:00:00"/>
    <s v="Brokerage"/>
    <s v="Inception"/>
    <m/>
    <d v="2020-01-22T00:00:00"/>
  </r>
  <r>
    <s v="DDD"/>
    <x v="390"/>
    <x v="1"/>
    <d v="2017-06-17T00:00:00"/>
    <d v="2018-06-16T00:00:00"/>
    <s v="Engineering"/>
    <n v="1"/>
    <s v="Vinay"/>
    <s v="Ahmedabad"/>
    <x v="1"/>
    <x v="2"/>
    <n v="8107.49"/>
    <d v="2018-07-16T00:00:00"/>
    <s v="Brokerage"/>
    <s v="Inception"/>
    <m/>
    <d v="2020-01-22T00:00:00"/>
  </r>
  <r>
    <s v="DDD"/>
    <x v="390"/>
    <x v="0"/>
    <d v="2017-07-06T00:00:00"/>
    <d v="2018-07-05T00:00:00"/>
    <s v="Engineering"/>
    <n v="1"/>
    <s v="Vinay"/>
    <s v="Ahmedabad"/>
    <x v="1"/>
    <x v="2"/>
    <n v="7398.74"/>
    <d v="2018-07-05T00:00:00"/>
    <s v="Brokerage"/>
    <s v="Inception"/>
    <m/>
    <d v="2020-01-22T00:00:00"/>
  </r>
  <r>
    <s v="DDD"/>
    <x v="390"/>
    <x v="0"/>
    <d v="2017-10-09T00:00:00"/>
    <d v="2018-10-08T00:00:00"/>
    <s v="Engineering"/>
    <n v="1"/>
    <s v="Vinay"/>
    <s v="Ahmedabad"/>
    <x v="1"/>
    <x v="2"/>
    <n v="15429.84"/>
    <d v="2017-10-09T00:00:00"/>
    <s v="Brokerage"/>
    <s v="Inception"/>
    <m/>
    <d v="2020-01-22T00:00:00"/>
  </r>
  <r>
    <s v="DDD"/>
    <x v="391"/>
    <x v="1"/>
    <d v="2018-02-14T00:00:00"/>
    <d v="2019-02-13T00:00:00"/>
    <s v="Miscellaneous"/>
    <n v="1"/>
    <s v="Vinay"/>
    <s v="Ahmedabad"/>
    <x v="1"/>
    <x v="2"/>
    <n v="3120.25"/>
    <d v="2018-02-14T00:00:00"/>
    <s v="Brokerage"/>
    <s v="Inception"/>
    <m/>
    <d v="2020-01-22T00:00:00"/>
  </r>
  <r>
    <s v="DDD"/>
    <x v="392"/>
    <x v="1"/>
    <d v="2018-04-20T00:00:00"/>
    <d v="2019-04-19T00:00:00"/>
    <s v="Engineering"/>
    <n v="1"/>
    <s v="Vinay"/>
    <s v="Ahmedabad"/>
    <x v="1"/>
    <x v="2"/>
    <n v="70725.990000000005"/>
    <d v="2018-04-20T00:00:00"/>
    <s v="Brokerage"/>
    <s v="Lapse"/>
    <s v="JCOM - Job Completed"/>
    <d v="2020-01-22T00:00:00"/>
  </r>
  <r>
    <s v="DDD"/>
    <x v="393"/>
    <x v="0"/>
    <d v="2018-04-30T00:00:00"/>
    <d v="2020-10-30T00:00:00"/>
    <s v="Engineering"/>
    <n v="1"/>
    <s v="Vinay"/>
    <s v="Ahmedabad"/>
    <x v="1"/>
    <x v="2"/>
    <n v="4278.13"/>
    <d v="2019-12-27T00:00:00"/>
    <s v="Brokerage"/>
    <s v="Inception"/>
    <m/>
    <d v="2020-01-22T00:00:00"/>
  </r>
  <r>
    <s v="DDD"/>
    <x v="393"/>
    <x v="0"/>
    <d v="2018-04-30T00:00:00"/>
    <d v="2020-10-30T00:00:00"/>
    <s v="Engineering"/>
    <n v="1"/>
    <s v="Vinay"/>
    <s v="Ahmedabad"/>
    <x v="1"/>
    <x v="2"/>
    <n v="4278.13"/>
    <d v="2020-04-06T00:00:00"/>
    <s v="Brokerage"/>
    <s v="Inception"/>
    <m/>
    <d v="2020-01-22T00:00:00"/>
  </r>
  <r>
    <s v="DDD"/>
    <x v="393"/>
    <x v="0"/>
    <d v="2018-04-30T00:00:00"/>
    <d v="2020-10-30T00:00:00"/>
    <s v="Engineering"/>
    <n v="1"/>
    <s v="Vinay"/>
    <s v="Ahmedabad"/>
    <x v="1"/>
    <x v="2"/>
    <n v="4278.25"/>
    <d v="2020-07-16T00:00:00"/>
    <s v="Brokerage"/>
    <s v="Inception"/>
    <m/>
    <d v="2020-01-22T00:00:00"/>
  </r>
  <r>
    <s v="DDD"/>
    <x v="393"/>
    <x v="0"/>
    <d v="2018-04-30T00:00:00"/>
    <d v="2020-10-30T00:00:00"/>
    <s v="Engineering"/>
    <n v="1"/>
    <s v="Vinay"/>
    <s v="Ahmedabad"/>
    <x v="1"/>
    <x v="2"/>
    <n v="4278.25"/>
    <d v="2020-07-16T00:00:00"/>
    <s v="Brokerage"/>
    <s v="Inception"/>
    <m/>
    <d v="2020-01-22T00:00:00"/>
  </r>
  <r>
    <s v="DDD"/>
    <x v="393"/>
    <x v="0"/>
    <d v="2018-04-30T00:00:00"/>
    <d v="2020-10-30T00:00:00"/>
    <s v="Engineering"/>
    <n v="1"/>
    <s v="Vinay"/>
    <s v="Ahmedabad"/>
    <x v="1"/>
    <x v="2"/>
    <n v="4278.25"/>
    <d v="2020-07-16T00:00:00"/>
    <s v="Brokerage"/>
    <s v="Inception"/>
    <m/>
    <d v="2020-01-22T00:00:00"/>
  </r>
  <r>
    <s v="DDD"/>
    <x v="393"/>
    <x v="0"/>
    <d v="2018-04-30T00:00:00"/>
    <d v="2020-10-30T00:00:00"/>
    <s v="Engineering"/>
    <n v="1"/>
    <s v="Vinay"/>
    <s v="Ahmedabad"/>
    <x v="1"/>
    <x v="2"/>
    <n v="4278.25"/>
    <d v="2020-07-16T00:00:00"/>
    <s v="Brokerage"/>
    <s v="Inception"/>
    <m/>
    <d v="2020-01-22T00:00:00"/>
  </r>
  <r>
    <s v="DDD"/>
    <x v="393"/>
    <x v="0"/>
    <d v="2018-04-30T00:00:00"/>
    <d v="2020-10-30T00:00:00"/>
    <s v="Engineering"/>
    <n v="1"/>
    <s v="Vinay"/>
    <s v="Ahmedabad"/>
    <x v="1"/>
    <x v="2"/>
    <n v="4705.88"/>
    <d v="2018-08-09T00:00:00"/>
    <s v="Brokerage"/>
    <s v="Inception"/>
    <m/>
    <d v="2020-01-22T00:00:00"/>
  </r>
  <r>
    <s v="DDD"/>
    <x v="393"/>
    <x v="0"/>
    <d v="2018-04-30T00:00:00"/>
    <d v="2020-10-30T00:00:00"/>
    <s v="Engineering"/>
    <n v="1"/>
    <s v="Vinay"/>
    <s v="Ahmedabad"/>
    <x v="1"/>
    <x v="2"/>
    <n v="4705.88"/>
    <d v="2018-11-18T00:00:00"/>
    <s v="Brokerage"/>
    <s v="Inception"/>
    <m/>
    <d v="2020-01-22T00:00:00"/>
  </r>
  <r>
    <s v="DDD"/>
    <x v="393"/>
    <x v="0"/>
    <d v="2018-04-30T00:00:00"/>
    <d v="2020-10-30T00:00:00"/>
    <s v="Engineering"/>
    <n v="1"/>
    <s v="Vinay"/>
    <s v="Ahmedabad"/>
    <x v="1"/>
    <x v="2"/>
    <n v="4705.88"/>
    <d v="2019-02-27T00:00:00"/>
    <s v="Brokerage"/>
    <s v="Inception"/>
    <m/>
    <d v="2020-01-22T00:00:00"/>
  </r>
  <r>
    <s v="DDD"/>
    <x v="393"/>
    <x v="0"/>
    <d v="2018-04-30T00:00:00"/>
    <d v="2020-10-30T00:00:00"/>
    <s v="Engineering"/>
    <n v="1"/>
    <s v="Vinay"/>
    <s v="Ahmedabad"/>
    <x v="1"/>
    <x v="2"/>
    <n v="4705.88"/>
    <d v="2019-06-08T00:00:00"/>
    <s v="Brokerage"/>
    <s v="Inception"/>
    <m/>
    <d v="2020-01-22T00:00:00"/>
  </r>
  <r>
    <s v="DDD"/>
    <x v="393"/>
    <x v="0"/>
    <d v="2018-04-30T00:00:00"/>
    <d v="2020-10-30T00:00:00"/>
    <s v="Engineering"/>
    <n v="1"/>
    <s v="Vinay"/>
    <s v="Ahmedabad"/>
    <x v="1"/>
    <x v="2"/>
    <n v="4705.88"/>
    <d v="2019-09-17T00:00:00"/>
    <s v="Brokerage"/>
    <s v="Inception"/>
    <m/>
    <d v="2020-01-22T00:00:00"/>
  </r>
  <r>
    <s v="DDD"/>
    <x v="393"/>
    <x v="0"/>
    <d v="2018-04-30T00:00:00"/>
    <d v="2020-10-30T00:00:00"/>
    <s v="Engineering"/>
    <n v="1"/>
    <s v="Vinay"/>
    <s v="Ahmedabad"/>
    <x v="1"/>
    <x v="2"/>
    <n v="6417.13"/>
    <d v="2018-04-30T00:00:00"/>
    <s v="Brokerage"/>
    <s v="Inception"/>
    <m/>
    <d v="2020-01-22T00:00:00"/>
  </r>
  <r>
    <s v="DDD"/>
    <x v="394"/>
    <x v="1"/>
    <d v="2018-06-27T00:00:00"/>
    <d v="2019-06-26T00:00:00"/>
    <s v="Engineering"/>
    <n v="1"/>
    <s v="Vinay"/>
    <s v="Ahmedabad"/>
    <x v="1"/>
    <x v="2"/>
    <n v="81783.89"/>
    <d v="2018-06-27T00:00:00"/>
    <s v="Brokerage"/>
    <s v="Lapse"/>
    <s v="OTHR â€“ Other"/>
    <d v="2020-01-22T00:00:00"/>
  </r>
  <r>
    <s v="DDD"/>
    <x v="395"/>
    <x v="0"/>
    <d v="2018-08-27T00:00:00"/>
    <d v="2020-08-26T00:00:00"/>
    <s v="Engineering"/>
    <n v="1"/>
    <s v="Vinay"/>
    <s v="Ahmedabad"/>
    <x v="1"/>
    <x v="2"/>
    <n v="70935.55"/>
    <d v="2020-02-27T00:00:00"/>
    <s v="Brokerage"/>
    <s v="Inception"/>
    <m/>
    <d v="2020-01-22T00:00:00"/>
  </r>
  <r>
    <s v="DDD"/>
    <x v="395"/>
    <x v="0"/>
    <d v="2018-08-27T00:00:00"/>
    <d v="2020-08-26T00:00:00"/>
    <s v="Engineering"/>
    <n v="1"/>
    <s v="Vinay"/>
    <s v="Ahmedabad"/>
    <x v="1"/>
    <x v="2"/>
    <n v="70935.55"/>
    <d v="2020-02-27T00:00:00"/>
    <s v="Brokerage"/>
    <s v="Inception"/>
    <m/>
    <d v="2020-01-22T00:00:00"/>
  </r>
  <r>
    <s v="DDD"/>
    <x v="395"/>
    <x v="0"/>
    <d v="2018-08-27T00:00:00"/>
    <d v="2020-08-26T00:00:00"/>
    <s v="Engineering"/>
    <n v="1"/>
    <s v="Vinay"/>
    <s v="Ahmedabad"/>
    <x v="1"/>
    <x v="2"/>
    <n v="70935.55"/>
    <d v="2020-02-27T00:00:00"/>
    <s v="Brokerage"/>
    <s v="Inception"/>
    <m/>
    <d v="2020-01-22T00:00:00"/>
  </r>
  <r>
    <s v="DDD"/>
    <x v="395"/>
    <x v="0"/>
    <d v="2018-08-27T00:00:00"/>
    <d v="2020-08-26T00:00:00"/>
    <s v="Engineering"/>
    <n v="1"/>
    <s v="Vinay"/>
    <s v="Ahmedabad"/>
    <x v="1"/>
    <x v="2"/>
    <n v="70935.55"/>
    <d v="2020-02-27T00:00:00"/>
    <s v="Brokerage"/>
    <s v="Inception"/>
    <m/>
    <d v="2020-01-22T00:00:00"/>
  </r>
  <r>
    <s v="DDD"/>
    <x v="395"/>
    <x v="0"/>
    <d v="2018-08-27T00:00:00"/>
    <d v="2020-08-26T00:00:00"/>
    <s v="Engineering"/>
    <n v="1"/>
    <s v="Vinay"/>
    <s v="Ahmedabad"/>
    <x v="1"/>
    <x v="2"/>
    <n v="90281.89"/>
    <d v="2018-11-27T00:00:00"/>
    <s v="Brokerage"/>
    <s v="Inception"/>
    <m/>
    <d v="2020-01-22T00:00:00"/>
  </r>
  <r>
    <s v="DDD"/>
    <x v="395"/>
    <x v="0"/>
    <d v="2018-08-27T00:00:00"/>
    <d v="2020-08-26T00:00:00"/>
    <s v="Engineering"/>
    <n v="1"/>
    <s v="Vinay"/>
    <s v="Ahmedabad"/>
    <x v="1"/>
    <x v="2"/>
    <n v="90281.89"/>
    <d v="2019-02-27T00:00:00"/>
    <s v="Brokerage"/>
    <s v="Inception"/>
    <m/>
    <d v="2020-01-22T00:00:00"/>
  </r>
  <r>
    <s v="DDD"/>
    <x v="395"/>
    <x v="0"/>
    <d v="2018-08-27T00:00:00"/>
    <d v="2020-08-26T00:00:00"/>
    <s v="Engineering"/>
    <n v="1"/>
    <s v="Vinay"/>
    <s v="Ahmedabad"/>
    <x v="1"/>
    <x v="2"/>
    <n v="90281.89"/>
    <d v="2019-05-27T00:00:00"/>
    <s v="Brokerage"/>
    <s v="Inception"/>
    <m/>
    <d v="2020-01-22T00:00:00"/>
  </r>
  <r>
    <s v="DDD"/>
    <x v="395"/>
    <x v="0"/>
    <d v="2018-08-27T00:00:00"/>
    <d v="2020-08-26T00:00:00"/>
    <s v="Engineering"/>
    <n v="1"/>
    <s v="Vinay"/>
    <s v="Ahmedabad"/>
    <x v="1"/>
    <x v="2"/>
    <n v="90281.89"/>
    <d v="2019-08-27T00:00:00"/>
    <s v="Brokerage"/>
    <s v="Inception"/>
    <m/>
    <d v="2020-01-22T00:00:00"/>
  </r>
  <r>
    <s v="DDD"/>
    <x v="395"/>
    <x v="0"/>
    <d v="2018-08-27T00:00:00"/>
    <d v="2020-08-26T00:00:00"/>
    <s v="Engineering"/>
    <n v="1"/>
    <s v="Vinay"/>
    <s v="Ahmedabad"/>
    <x v="1"/>
    <x v="2"/>
    <n v="90281.89"/>
    <d v="2019-11-27T00:00:00"/>
    <s v="Brokerage"/>
    <s v="Inception"/>
    <m/>
    <d v="2020-01-22T00:00:00"/>
  </r>
  <r>
    <s v="DDD"/>
    <x v="395"/>
    <x v="0"/>
    <d v="2018-08-27T00:00:00"/>
    <d v="2020-08-26T00:00:00"/>
    <s v="Engineering"/>
    <n v="1"/>
    <s v="Vinay"/>
    <s v="Ahmedabad"/>
    <x v="1"/>
    <x v="2"/>
    <n v="122525.38"/>
    <d v="2018-08-27T00:00:00"/>
    <s v="Brokerage"/>
    <s v="Inception"/>
    <m/>
    <d v="2020-01-22T00:00:00"/>
  </r>
  <r>
    <s v="DDD"/>
    <x v="395"/>
    <x v="0"/>
    <d v="2018-08-27T00:00:00"/>
    <d v="2020-08-26T00:00:00"/>
    <s v="Engineering"/>
    <n v="1"/>
    <s v="Vinay"/>
    <s v="Ahmedabad"/>
    <x v="1"/>
    <x v="2"/>
    <n v="0"/>
    <d v="2020-02-27T00:00:00"/>
    <s v="Brokerage"/>
    <s v="Inception"/>
    <m/>
    <d v="2020-01-22T00:00:00"/>
  </r>
  <r>
    <s v="DDD"/>
    <x v="395"/>
    <x v="0"/>
    <d v="2018-08-27T00:00:00"/>
    <d v="2020-08-26T00:00:00"/>
    <s v="Engineering"/>
    <n v="1"/>
    <s v="Vinay"/>
    <s v="Ahmedabad"/>
    <x v="1"/>
    <x v="2"/>
    <n v="0"/>
    <d v="2020-02-27T00:00:00"/>
    <s v="Brokerage"/>
    <s v="Inception"/>
    <m/>
    <d v="2020-01-22T00:00:00"/>
  </r>
  <r>
    <s v="DDD"/>
    <x v="395"/>
    <x v="0"/>
    <d v="2018-08-27T00:00:00"/>
    <d v="2020-08-26T00:00:00"/>
    <s v="Engineering"/>
    <n v="1"/>
    <s v="Vinay"/>
    <s v="Ahmedabad"/>
    <x v="1"/>
    <x v="2"/>
    <n v="0"/>
    <d v="2020-02-27T00:00:00"/>
    <s v="Brokerage"/>
    <s v="Inception"/>
    <m/>
    <d v="2020-01-22T00:00:00"/>
  </r>
  <r>
    <s v="DDD"/>
    <x v="395"/>
    <x v="0"/>
    <d v="2018-08-27T00:00:00"/>
    <d v="2020-08-26T00:00:00"/>
    <s v="Engineering"/>
    <n v="1"/>
    <s v="Vinay"/>
    <s v="Ahmedabad"/>
    <x v="1"/>
    <x v="2"/>
    <n v="0"/>
    <d v="2020-02-27T00:00:00"/>
    <s v="Brokerage"/>
    <s v="Inception"/>
    <m/>
    <d v="2020-01-22T00:00:00"/>
  </r>
  <r>
    <s v="DDD"/>
    <x v="395"/>
    <x v="0"/>
    <d v="2018-08-27T00:00:00"/>
    <d v="2020-08-26T00:00:00"/>
    <s v="Engineering"/>
    <n v="1"/>
    <s v="Vinay"/>
    <s v="Ahmedabad"/>
    <x v="1"/>
    <x v="2"/>
    <n v="0"/>
    <d v="2018-11-27T00:00:00"/>
    <s v="Brokerage"/>
    <s v="Inception"/>
    <m/>
    <d v="2020-01-22T00:00:00"/>
  </r>
  <r>
    <s v="DDD"/>
    <x v="395"/>
    <x v="0"/>
    <d v="2018-08-27T00:00:00"/>
    <d v="2020-08-26T00:00:00"/>
    <s v="Engineering"/>
    <n v="1"/>
    <s v="Vinay"/>
    <s v="Ahmedabad"/>
    <x v="1"/>
    <x v="2"/>
    <n v="0"/>
    <d v="2019-02-27T00:00:00"/>
    <s v="Brokerage"/>
    <s v="Inception"/>
    <m/>
    <d v="2020-01-22T00:00:00"/>
  </r>
  <r>
    <s v="DDD"/>
    <x v="395"/>
    <x v="0"/>
    <d v="2018-08-27T00:00:00"/>
    <d v="2020-08-26T00:00:00"/>
    <s v="Engineering"/>
    <n v="1"/>
    <s v="Vinay"/>
    <s v="Ahmedabad"/>
    <x v="1"/>
    <x v="2"/>
    <n v="0"/>
    <d v="2019-05-27T00:00:00"/>
    <s v="Brokerage"/>
    <s v="Inception"/>
    <m/>
    <d v="2020-01-22T00:00:00"/>
  </r>
  <r>
    <s v="DDD"/>
    <x v="395"/>
    <x v="0"/>
    <d v="2018-08-27T00:00:00"/>
    <d v="2020-08-26T00:00:00"/>
    <s v="Engineering"/>
    <n v="1"/>
    <s v="Vinay"/>
    <s v="Ahmedabad"/>
    <x v="1"/>
    <x v="2"/>
    <n v="0"/>
    <d v="2019-08-27T00:00:00"/>
    <s v="Brokerage"/>
    <s v="Inception"/>
    <m/>
    <d v="2020-01-22T00:00:00"/>
  </r>
  <r>
    <s v="DDD"/>
    <x v="395"/>
    <x v="0"/>
    <d v="2018-08-27T00:00:00"/>
    <d v="2020-08-26T00:00:00"/>
    <s v="Engineering"/>
    <n v="1"/>
    <s v="Vinay"/>
    <s v="Ahmedabad"/>
    <x v="1"/>
    <x v="2"/>
    <n v="0"/>
    <d v="2019-11-27T00:00:00"/>
    <s v="Brokerage"/>
    <s v="Inception"/>
    <m/>
    <d v="2020-01-22T00:00:00"/>
  </r>
  <r>
    <s v="DDD"/>
    <x v="395"/>
    <x v="0"/>
    <d v="2018-08-27T00:00:00"/>
    <d v="2020-08-26T00:00:00"/>
    <s v="Engineering"/>
    <n v="1"/>
    <s v="Vinay"/>
    <s v="Ahmedabad"/>
    <x v="1"/>
    <x v="2"/>
    <n v="0"/>
    <d v="2018-08-27T00:00:00"/>
    <s v="Brokerage"/>
    <s v="Inception"/>
    <m/>
    <d v="2020-01-22T00:00:00"/>
  </r>
  <r>
    <s v="DDD"/>
    <x v="396"/>
    <x v="0"/>
    <d v="2018-08-14T00:00:00"/>
    <d v="2021-02-13T00:00:00"/>
    <s v="Engineering"/>
    <n v="1"/>
    <s v="Vinay"/>
    <s v="Ahmedabad"/>
    <x v="1"/>
    <x v="2"/>
    <n v="62399.23"/>
    <d v="2020-08-14T00:00:00"/>
    <s v="Brokerage"/>
    <s v="Inception"/>
    <m/>
    <d v="2020-01-22T00:00:00"/>
  </r>
  <r>
    <s v="DDD"/>
    <x v="396"/>
    <x v="0"/>
    <d v="2018-08-14T00:00:00"/>
    <d v="2021-02-13T00:00:00"/>
    <s v="Engineering"/>
    <n v="1"/>
    <s v="Vinay"/>
    <s v="Ahmedabad"/>
    <x v="1"/>
    <x v="2"/>
    <n v="62399.23"/>
    <d v="2020-08-14T00:00:00"/>
    <s v="Brokerage"/>
    <s v="Inception"/>
    <m/>
    <d v="2020-01-22T00:00:00"/>
  </r>
  <r>
    <s v="DDD"/>
    <x v="396"/>
    <x v="0"/>
    <d v="2018-08-14T00:00:00"/>
    <d v="2021-02-13T00:00:00"/>
    <s v="Engineering"/>
    <n v="1"/>
    <s v="Vinay"/>
    <s v="Ahmedabad"/>
    <x v="1"/>
    <x v="2"/>
    <n v="62399.23"/>
    <d v="2020-08-14T00:00:00"/>
    <s v="Brokerage"/>
    <s v="Inception"/>
    <m/>
    <d v="2020-01-22T00:00:00"/>
  </r>
  <r>
    <s v="DDD"/>
    <x v="396"/>
    <x v="0"/>
    <d v="2018-08-14T00:00:00"/>
    <d v="2021-02-13T00:00:00"/>
    <s v="Engineering"/>
    <n v="1"/>
    <s v="Vinay"/>
    <s v="Ahmedabad"/>
    <x v="1"/>
    <x v="2"/>
    <n v="62399.23"/>
    <d v="2020-08-14T00:00:00"/>
    <s v="Brokerage"/>
    <s v="Inception"/>
    <m/>
    <d v="2020-01-22T00:00:00"/>
  </r>
  <r>
    <s v="DDD"/>
    <x v="396"/>
    <x v="0"/>
    <d v="2018-08-14T00:00:00"/>
    <d v="2021-02-13T00:00:00"/>
    <s v="Engineering"/>
    <n v="1"/>
    <s v="Vinay"/>
    <s v="Ahmedabad"/>
    <x v="1"/>
    <x v="2"/>
    <n v="62399.23"/>
    <d v="2020-08-14T00:00:00"/>
    <s v="Brokerage"/>
    <s v="Inception"/>
    <m/>
    <d v="2020-01-22T00:00:00"/>
  </r>
  <r>
    <s v="DDD"/>
    <x v="396"/>
    <x v="0"/>
    <d v="2018-08-14T00:00:00"/>
    <d v="2021-02-13T00:00:00"/>
    <s v="Engineering"/>
    <n v="1"/>
    <s v="Vinay"/>
    <s v="Ahmedabad"/>
    <x v="1"/>
    <x v="2"/>
    <n v="62399.23"/>
    <d v="2020-08-14T00:00:00"/>
    <s v="Brokerage"/>
    <s v="Inception"/>
    <m/>
    <d v="2020-01-22T00:00:00"/>
  </r>
  <r>
    <s v="DDD"/>
    <x v="396"/>
    <x v="0"/>
    <d v="2018-08-14T00:00:00"/>
    <d v="2021-02-13T00:00:00"/>
    <s v="Engineering"/>
    <n v="1"/>
    <s v="Vinay"/>
    <s v="Ahmedabad"/>
    <x v="1"/>
    <x v="2"/>
    <n v="62399.23"/>
    <d v="2020-08-14T00:00:00"/>
    <s v="Brokerage"/>
    <s v="Inception"/>
    <m/>
    <d v="2020-01-22T00:00:00"/>
  </r>
  <r>
    <s v="DDD"/>
    <x v="396"/>
    <x v="0"/>
    <d v="2018-08-14T00:00:00"/>
    <d v="2021-02-13T00:00:00"/>
    <s v="Engineering"/>
    <n v="1"/>
    <s v="Vinay"/>
    <s v="Ahmedabad"/>
    <x v="1"/>
    <x v="2"/>
    <n v="62399.23"/>
    <d v="2020-08-14T00:00:00"/>
    <s v="Brokerage"/>
    <s v="Inception"/>
    <m/>
    <d v="2020-01-22T00:00:00"/>
  </r>
  <r>
    <s v="DDD"/>
    <x v="396"/>
    <x v="0"/>
    <d v="2018-08-14T00:00:00"/>
    <d v="2021-02-13T00:00:00"/>
    <s v="Engineering"/>
    <n v="1"/>
    <s v="Vinay"/>
    <s v="Ahmedabad"/>
    <x v="1"/>
    <x v="2"/>
    <n v="62399.4"/>
    <d v="2020-02-14T00:00:00"/>
    <s v="Brokerage"/>
    <s v="Inception"/>
    <m/>
    <d v="2020-01-22T00:00:00"/>
  </r>
  <r>
    <s v="DDD"/>
    <x v="396"/>
    <x v="0"/>
    <d v="2018-08-14T00:00:00"/>
    <d v="2021-02-13T00:00:00"/>
    <s v="Engineering"/>
    <n v="1"/>
    <s v="Vinay"/>
    <s v="Ahmedabad"/>
    <x v="1"/>
    <x v="2"/>
    <n v="62399.4"/>
    <d v="2020-05-14T00:00:00"/>
    <s v="Brokerage"/>
    <s v="Inception"/>
    <m/>
    <d v="2020-01-22T00:00:00"/>
  </r>
  <r>
    <s v="DDD"/>
    <x v="396"/>
    <x v="0"/>
    <d v="2018-08-14T00:00:00"/>
    <d v="2021-02-13T00:00:00"/>
    <s v="Engineering"/>
    <n v="1"/>
    <s v="Vinay"/>
    <s v="Ahmedabad"/>
    <x v="1"/>
    <x v="2"/>
    <n v="62399.4"/>
    <d v="2019-11-14T00:00:00"/>
    <s v="Brokerage"/>
    <s v="Inception"/>
    <m/>
    <d v="2020-01-22T00:00:00"/>
  </r>
  <r>
    <s v="DDD"/>
    <x v="396"/>
    <x v="0"/>
    <d v="2018-08-14T00:00:00"/>
    <d v="2021-02-13T00:00:00"/>
    <s v="Engineering"/>
    <n v="1"/>
    <s v="Vinay"/>
    <s v="Ahmedabad"/>
    <x v="1"/>
    <x v="2"/>
    <n v="68639.38"/>
    <d v="2018-11-14T00:00:00"/>
    <s v="Brokerage"/>
    <s v="Inception"/>
    <m/>
    <d v="2020-01-22T00:00:00"/>
  </r>
  <r>
    <s v="DDD"/>
    <x v="396"/>
    <x v="0"/>
    <d v="2018-08-14T00:00:00"/>
    <d v="2021-02-13T00:00:00"/>
    <s v="Engineering"/>
    <n v="1"/>
    <s v="Vinay"/>
    <s v="Ahmedabad"/>
    <x v="1"/>
    <x v="2"/>
    <n v="68639.38"/>
    <d v="2019-02-14T00:00:00"/>
    <s v="Brokerage"/>
    <s v="Inception"/>
    <m/>
    <d v="2020-01-22T00:00:00"/>
  </r>
  <r>
    <s v="DDD"/>
    <x v="396"/>
    <x v="0"/>
    <d v="2018-08-14T00:00:00"/>
    <d v="2021-02-13T00:00:00"/>
    <s v="Engineering"/>
    <n v="1"/>
    <s v="Vinay"/>
    <s v="Ahmedabad"/>
    <x v="1"/>
    <x v="2"/>
    <n v="68639.38"/>
    <d v="2019-05-14T00:00:00"/>
    <s v="Brokerage"/>
    <s v="Inception"/>
    <m/>
    <d v="2020-01-22T00:00:00"/>
  </r>
  <r>
    <s v="DDD"/>
    <x v="396"/>
    <x v="0"/>
    <d v="2018-08-14T00:00:00"/>
    <d v="2021-02-13T00:00:00"/>
    <s v="Engineering"/>
    <n v="1"/>
    <s v="Vinay"/>
    <s v="Ahmedabad"/>
    <x v="1"/>
    <x v="2"/>
    <n v="68639.38"/>
    <d v="2019-08-14T00:00:00"/>
    <s v="Brokerage"/>
    <s v="Inception"/>
    <m/>
    <d v="2020-01-22T00:00:00"/>
  </r>
  <r>
    <s v="DDD"/>
    <x v="396"/>
    <x v="0"/>
    <d v="2018-08-14T00:00:00"/>
    <d v="2021-02-13T00:00:00"/>
    <s v="Engineering"/>
    <n v="1"/>
    <s v="Vinay"/>
    <s v="Ahmedabad"/>
    <x v="1"/>
    <x v="2"/>
    <n v="99839.08"/>
    <d v="2018-08-14T00:00:00"/>
    <s v="Brokerage"/>
    <s v="Inception"/>
    <m/>
    <d v="2020-01-22T00:00:00"/>
  </r>
  <r>
    <s v="DDD"/>
    <x v="396"/>
    <x v="0"/>
    <d v="2018-08-14T00:00:00"/>
    <d v="2021-02-13T00:00:00"/>
    <s v="Engineering"/>
    <n v="1"/>
    <s v="Vinay"/>
    <s v="Ahmedabad"/>
    <x v="1"/>
    <x v="2"/>
    <n v="0"/>
    <d v="2020-08-14T00:00:00"/>
    <s v="Brokerage"/>
    <s v="Inception"/>
    <m/>
    <d v="2020-01-22T00:00:00"/>
  </r>
  <r>
    <s v="DDD"/>
    <x v="396"/>
    <x v="0"/>
    <d v="2018-08-14T00:00:00"/>
    <d v="2021-02-13T00:00:00"/>
    <s v="Engineering"/>
    <n v="1"/>
    <s v="Vinay"/>
    <s v="Ahmedabad"/>
    <x v="1"/>
    <x v="2"/>
    <n v="0"/>
    <d v="2020-08-14T00:00:00"/>
    <s v="Brokerage"/>
    <s v="Inception"/>
    <m/>
    <d v="2020-01-22T00:00:00"/>
  </r>
  <r>
    <s v="DDD"/>
    <x v="396"/>
    <x v="0"/>
    <d v="2018-08-14T00:00:00"/>
    <d v="2021-02-13T00:00:00"/>
    <s v="Engineering"/>
    <n v="1"/>
    <s v="Vinay"/>
    <s v="Ahmedabad"/>
    <x v="1"/>
    <x v="2"/>
    <n v="0"/>
    <d v="2020-08-14T00:00:00"/>
    <s v="Brokerage"/>
    <s v="Inception"/>
    <m/>
    <d v="2020-01-22T00:00:00"/>
  </r>
  <r>
    <s v="DDD"/>
    <x v="396"/>
    <x v="0"/>
    <d v="2018-08-14T00:00:00"/>
    <d v="2021-02-13T00:00:00"/>
    <s v="Engineering"/>
    <n v="1"/>
    <s v="Vinay"/>
    <s v="Ahmedabad"/>
    <x v="1"/>
    <x v="2"/>
    <n v="0"/>
    <d v="2020-08-14T00:00:00"/>
    <s v="Brokerage"/>
    <s v="Inception"/>
    <m/>
    <d v="2020-01-22T00:00:00"/>
  </r>
  <r>
    <s v="DDD"/>
    <x v="396"/>
    <x v="0"/>
    <d v="2018-08-14T00:00:00"/>
    <d v="2021-02-13T00:00:00"/>
    <s v="Engineering"/>
    <n v="1"/>
    <s v="Vinay"/>
    <s v="Ahmedabad"/>
    <x v="1"/>
    <x v="2"/>
    <n v="0"/>
    <d v="2020-08-14T00:00:00"/>
    <s v="Brokerage"/>
    <s v="Inception"/>
    <m/>
    <d v="2020-01-22T00:00:00"/>
  </r>
  <r>
    <s v="DDD"/>
    <x v="396"/>
    <x v="0"/>
    <d v="2018-08-14T00:00:00"/>
    <d v="2021-02-13T00:00:00"/>
    <s v="Engineering"/>
    <n v="1"/>
    <s v="Vinay"/>
    <s v="Ahmedabad"/>
    <x v="1"/>
    <x v="2"/>
    <n v="0"/>
    <d v="2020-08-14T00:00:00"/>
    <s v="Brokerage"/>
    <s v="Inception"/>
    <m/>
    <d v="2020-01-22T00:00:00"/>
  </r>
  <r>
    <s v="DDD"/>
    <x v="396"/>
    <x v="0"/>
    <d v="2018-08-14T00:00:00"/>
    <d v="2021-02-13T00:00:00"/>
    <s v="Engineering"/>
    <n v="1"/>
    <s v="Vinay"/>
    <s v="Ahmedabad"/>
    <x v="1"/>
    <x v="2"/>
    <n v="0"/>
    <d v="2020-08-14T00:00:00"/>
    <s v="Brokerage"/>
    <s v="Inception"/>
    <m/>
    <d v="2020-01-22T00:00:00"/>
  </r>
  <r>
    <s v="DDD"/>
    <x v="396"/>
    <x v="0"/>
    <d v="2018-08-14T00:00:00"/>
    <d v="2021-02-13T00:00:00"/>
    <s v="Engineering"/>
    <n v="1"/>
    <s v="Vinay"/>
    <s v="Ahmedabad"/>
    <x v="1"/>
    <x v="2"/>
    <n v="0"/>
    <d v="2020-08-14T00:00:00"/>
    <s v="Brokerage"/>
    <s v="Inception"/>
    <m/>
    <d v="2020-01-22T00:00:00"/>
  </r>
  <r>
    <s v="DDD"/>
    <x v="396"/>
    <x v="0"/>
    <d v="2018-08-14T00:00:00"/>
    <d v="2021-02-13T00:00:00"/>
    <s v="Engineering"/>
    <n v="1"/>
    <s v="Vinay"/>
    <s v="Ahmedabad"/>
    <x v="1"/>
    <x v="2"/>
    <n v="0"/>
    <d v="2020-02-14T00:00:00"/>
    <s v="Brokerage"/>
    <s v="Inception"/>
    <m/>
    <d v="2020-01-22T00:00:00"/>
  </r>
  <r>
    <s v="DDD"/>
    <x v="396"/>
    <x v="0"/>
    <d v="2018-08-14T00:00:00"/>
    <d v="2021-02-13T00:00:00"/>
    <s v="Engineering"/>
    <n v="1"/>
    <s v="Vinay"/>
    <s v="Ahmedabad"/>
    <x v="1"/>
    <x v="2"/>
    <n v="0"/>
    <d v="2020-05-14T00:00:00"/>
    <s v="Brokerage"/>
    <s v="Inception"/>
    <m/>
    <d v="2020-01-22T00:00:00"/>
  </r>
  <r>
    <s v="DDD"/>
    <x v="396"/>
    <x v="0"/>
    <d v="2018-08-14T00:00:00"/>
    <d v="2021-02-13T00:00:00"/>
    <s v="Engineering"/>
    <n v="1"/>
    <s v="Vinay"/>
    <s v="Ahmedabad"/>
    <x v="1"/>
    <x v="2"/>
    <n v="0"/>
    <d v="2019-11-14T00:00:00"/>
    <s v="Brokerage"/>
    <s v="Inception"/>
    <m/>
    <d v="2020-01-22T00:00:00"/>
  </r>
  <r>
    <s v="DDD"/>
    <x v="396"/>
    <x v="0"/>
    <d v="2018-08-14T00:00:00"/>
    <d v="2021-02-13T00:00:00"/>
    <s v="Engineering"/>
    <n v="1"/>
    <s v="Vinay"/>
    <s v="Ahmedabad"/>
    <x v="1"/>
    <x v="2"/>
    <n v="0"/>
    <d v="2018-11-14T00:00:00"/>
    <s v="Brokerage"/>
    <s v="Inception"/>
    <m/>
    <d v="2020-01-22T00:00:00"/>
  </r>
  <r>
    <s v="DDD"/>
    <x v="396"/>
    <x v="0"/>
    <d v="2018-08-14T00:00:00"/>
    <d v="2021-02-13T00:00:00"/>
    <s v="Engineering"/>
    <n v="1"/>
    <s v="Vinay"/>
    <s v="Ahmedabad"/>
    <x v="1"/>
    <x v="2"/>
    <n v="0"/>
    <d v="2019-02-14T00:00:00"/>
    <s v="Brokerage"/>
    <s v="Inception"/>
    <m/>
    <d v="2020-01-22T00:00:00"/>
  </r>
  <r>
    <s v="DDD"/>
    <x v="396"/>
    <x v="0"/>
    <d v="2018-08-14T00:00:00"/>
    <d v="2021-02-13T00:00:00"/>
    <s v="Engineering"/>
    <n v="1"/>
    <s v="Vinay"/>
    <s v="Ahmedabad"/>
    <x v="1"/>
    <x v="2"/>
    <n v="0"/>
    <d v="2019-05-14T00:00:00"/>
    <s v="Brokerage"/>
    <s v="Inception"/>
    <m/>
    <d v="2020-01-22T00:00:00"/>
  </r>
  <r>
    <s v="DDD"/>
    <x v="396"/>
    <x v="0"/>
    <d v="2018-08-14T00:00:00"/>
    <d v="2021-02-13T00:00:00"/>
    <s v="Engineering"/>
    <n v="1"/>
    <s v="Vinay"/>
    <s v="Ahmedabad"/>
    <x v="1"/>
    <x v="2"/>
    <n v="0"/>
    <d v="2019-08-14T00:00:00"/>
    <s v="Brokerage"/>
    <s v="Inception"/>
    <m/>
    <d v="2020-01-22T00:00:00"/>
  </r>
  <r>
    <s v="DDD"/>
    <x v="396"/>
    <x v="0"/>
    <d v="2018-08-14T00:00:00"/>
    <d v="2021-02-13T00:00:00"/>
    <s v="Engineering"/>
    <n v="1"/>
    <s v="Vinay"/>
    <s v="Ahmedabad"/>
    <x v="1"/>
    <x v="2"/>
    <n v="0"/>
    <d v="2018-08-14T00:00:00"/>
    <s v="Brokerage"/>
    <s v="Inception"/>
    <m/>
    <d v="2020-01-22T00:00:00"/>
  </r>
  <r>
    <s v="DDD"/>
    <x v="397"/>
    <x v="0"/>
    <d v="2018-09-25T00:00:00"/>
    <d v="2020-09-24T00:00:00"/>
    <s v="Engineering"/>
    <n v="1"/>
    <s v="Vinay"/>
    <s v="Ahmedabad"/>
    <x v="1"/>
    <x v="2"/>
    <n v="65412.72"/>
    <d v="2020-03-25T00:00:00"/>
    <s v="Brokerage"/>
    <s v="Inception"/>
    <m/>
    <d v="2020-01-22T00:00:00"/>
  </r>
  <r>
    <s v="DDD"/>
    <x v="397"/>
    <x v="0"/>
    <d v="2018-09-25T00:00:00"/>
    <d v="2020-09-24T00:00:00"/>
    <s v="Engineering"/>
    <n v="1"/>
    <s v="Vinay"/>
    <s v="Ahmedabad"/>
    <x v="1"/>
    <x v="2"/>
    <n v="83253.179999999993"/>
    <d v="2018-12-25T00:00:00"/>
    <s v="Brokerage"/>
    <s v="Inception"/>
    <m/>
    <d v="2020-01-22T00:00:00"/>
  </r>
  <r>
    <s v="DDD"/>
    <x v="397"/>
    <x v="0"/>
    <d v="2018-09-25T00:00:00"/>
    <d v="2020-09-24T00:00:00"/>
    <s v="Engineering"/>
    <n v="1"/>
    <s v="Vinay"/>
    <s v="Ahmedabad"/>
    <x v="1"/>
    <x v="2"/>
    <n v="83253.179999999993"/>
    <d v="2019-03-25T00:00:00"/>
    <s v="Brokerage"/>
    <s v="Inception"/>
    <m/>
    <d v="2020-01-22T00:00:00"/>
  </r>
  <r>
    <s v="DDD"/>
    <x v="397"/>
    <x v="0"/>
    <d v="2018-09-25T00:00:00"/>
    <d v="2020-09-24T00:00:00"/>
    <s v="Engineering"/>
    <n v="1"/>
    <s v="Vinay"/>
    <s v="Ahmedabad"/>
    <x v="1"/>
    <x v="2"/>
    <n v="83253.179999999993"/>
    <d v="2019-06-25T00:00:00"/>
    <s v="Brokerage"/>
    <s v="Inception"/>
    <m/>
    <d v="2020-01-22T00:00:00"/>
  </r>
  <r>
    <s v="DDD"/>
    <x v="397"/>
    <x v="0"/>
    <d v="2018-09-25T00:00:00"/>
    <d v="2020-09-24T00:00:00"/>
    <s v="Engineering"/>
    <n v="1"/>
    <s v="Vinay"/>
    <s v="Ahmedabad"/>
    <x v="1"/>
    <x v="2"/>
    <n v="83253.179999999993"/>
    <d v="2019-09-25T00:00:00"/>
    <s v="Brokerage"/>
    <s v="Inception"/>
    <m/>
    <d v="2020-01-22T00:00:00"/>
  </r>
  <r>
    <s v="DDD"/>
    <x v="397"/>
    <x v="0"/>
    <d v="2018-09-25T00:00:00"/>
    <d v="2020-09-24T00:00:00"/>
    <s v="Engineering"/>
    <n v="1"/>
    <s v="Vinay"/>
    <s v="Ahmedabad"/>
    <x v="1"/>
    <x v="2"/>
    <n v="83253.179999999993"/>
    <d v="2019-12-25T00:00:00"/>
    <s v="Brokerage"/>
    <s v="Inception"/>
    <m/>
    <d v="2020-01-22T00:00:00"/>
  </r>
  <r>
    <s v="DDD"/>
    <x v="397"/>
    <x v="0"/>
    <d v="2018-09-25T00:00:00"/>
    <d v="2020-09-24T00:00:00"/>
    <s v="Engineering"/>
    <n v="1"/>
    <s v="Vinay"/>
    <s v="Ahmedabad"/>
    <x v="1"/>
    <x v="2"/>
    <n v="112986.38"/>
    <d v="2018-09-25T00:00:00"/>
    <s v="Brokerage"/>
    <s v="Inception"/>
    <m/>
    <d v="2020-01-22T00:00:00"/>
  </r>
  <r>
    <s v="DDD"/>
    <x v="397"/>
    <x v="0"/>
    <d v="2018-09-25T00:00:00"/>
    <d v="2020-09-24T00:00:00"/>
    <s v="Engineering"/>
    <n v="1"/>
    <s v="Vinay"/>
    <s v="Ahmedabad"/>
    <x v="1"/>
    <x v="2"/>
    <n v="0"/>
    <d v="2020-03-25T00:00:00"/>
    <s v="Brokerage"/>
    <s v="Inception"/>
    <m/>
    <d v="2020-01-22T00:00:00"/>
  </r>
  <r>
    <s v="DDD"/>
    <x v="397"/>
    <x v="0"/>
    <d v="2018-09-25T00:00:00"/>
    <d v="2020-09-24T00:00:00"/>
    <s v="Engineering"/>
    <n v="1"/>
    <s v="Vinay"/>
    <s v="Ahmedabad"/>
    <x v="1"/>
    <x v="2"/>
    <n v="0"/>
    <d v="2018-12-25T00:00:00"/>
    <s v="Brokerage"/>
    <s v="Inception"/>
    <m/>
    <d v="2020-01-22T00:00:00"/>
  </r>
  <r>
    <s v="DDD"/>
    <x v="397"/>
    <x v="0"/>
    <d v="2018-09-25T00:00:00"/>
    <d v="2020-09-24T00:00:00"/>
    <s v="Engineering"/>
    <n v="1"/>
    <s v="Vinay"/>
    <s v="Ahmedabad"/>
    <x v="1"/>
    <x v="2"/>
    <n v="0"/>
    <d v="2019-03-25T00:00:00"/>
    <s v="Brokerage"/>
    <s v="Inception"/>
    <m/>
    <d v="2020-01-22T00:00:00"/>
  </r>
  <r>
    <s v="DDD"/>
    <x v="397"/>
    <x v="0"/>
    <d v="2018-09-25T00:00:00"/>
    <d v="2020-09-24T00:00:00"/>
    <s v="Engineering"/>
    <n v="1"/>
    <s v="Vinay"/>
    <s v="Ahmedabad"/>
    <x v="1"/>
    <x v="2"/>
    <n v="0"/>
    <d v="2019-06-25T00:00:00"/>
    <s v="Brokerage"/>
    <s v="Inception"/>
    <m/>
    <d v="2020-01-22T00:00:00"/>
  </r>
  <r>
    <s v="DDD"/>
    <x v="397"/>
    <x v="0"/>
    <d v="2018-09-25T00:00:00"/>
    <d v="2020-09-24T00:00:00"/>
    <s v="Engineering"/>
    <n v="1"/>
    <s v="Vinay"/>
    <s v="Ahmedabad"/>
    <x v="1"/>
    <x v="2"/>
    <n v="0"/>
    <d v="2019-09-25T00:00:00"/>
    <s v="Brokerage"/>
    <s v="Inception"/>
    <m/>
    <d v="2020-01-22T00:00:00"/>
  </r>
  <r>
    <s v="DDD"/>
    <x v="397"/>
    <x v="0"/>
    <d v="2018-09-25T00:00:00"/>
    <d v="2020-09-24T00:00:00"/>
    <s v="Engineering"/>
    <n v="1"/>
    <s v="Vinay"/>
    <s v="Ahmedabad"/>
    <x v="1"/>
    <x v="2"/>
    <n v="0"/>
    <d v="2019-12-25T00:00:00"/>
    <s v="Brokerage"/>
    <s v="Inception"/>
    <m/>
    <d v="2020-01-22T00:00:00"/>
  </r>
  <r>
    <s v="DDD"/>
    <x v="397"/>
    <x v="0"/>
    <d v="2018-09-25T00:00:00"/>
    <d v="2020-09-24T00:00:00"/>
    <s v="Engineering"/>
    <n v="1"/>
    <s v="Vinay"/>
    <s v="Ahmedabad"/>
    <x v="1"/>
    <x v="2"/>
    <n v="0"/>
    <d v="2018-09-25T00:00:00"/>
    <s v="Brokerage"/>
    <s v="Inception"/>
    <m/>
    <d v="2020-01-22T00:00:00"/>
  </r>
  <r>
    <s v="DDD"/>
    <x v="398"/>
    <x v="1"/>
    <d v="2018-10-20T00:00:00"/>
    <d v="2019-04-19T00:00:00"/>
    <s v="Engineering"/>
    <n v="1"/>
    <s v="Vinay"/>
    <s v="Ahmedabad"/>
    <x v="1"/>
    <x v="2"/>
    <n v="101037"/>
    <d v="2018-10-20T00:00:00"/>
    <s v="Brokerage"/>
    <s v="Inception"/>
    <m/>
    <d v="2020-01-22T00:00:00"/>
  </r>
  <r>
    <s v="DDD"/>
    <x v="399"/>
    <x v="1"/>
    <d v="2019-01-09T00:00:00"/>
    <d v="2019-07-08T00:00:00"/>
    <s v="Engineering"/>
    <n v="1"/>
    <s v="Vinay"/>
    <s v="Ahmedabad"/>
    <x v="1"/>
    <x v="2"/>
    <n v="16455"/>
    <d v="2019-01-09T00:00:00"/>
    <s v="Brokerage"/>
    <s v="Inception"/>
    <m/>
    <d v="2020-01-22T00:00:00"/>
  </r>
  <r>
    <s v="DDD"/>
    <x v="399"/>
    <x v="1"/>
    <d v="2019-01-09T00:00:00"/>
    <d v="2019-07-08T00:00:00"/>
    <s v="Engineering"/>
    <n v="1"/>
    <s v="Vinay"/>
    <s v="Ahmedabad"/>
    <x v="1"/>
    <x v="2"/>
    <n v="0"/>
    <d v="2019-01-09T00:00:00"/>
    <s v="Brokerage"/>
    <s v="Inception"/>
    <m/>
    <d v="2020-01-22T00:00:00"/>
  </r>
  <r>
    <s v="DDD"/>
    <x v="400"/>
    <x v="0"/>
    <d v="2019-03-07T00:00:00"/>
    <d v="2020-06-06T00:00:00"/>
    <s v="Engineering"/>
    <n v="1"/>
    <s v="Vinay"/>
    <s v="Ahmedabad"/>
    <x v="1"/>
    <x v="2"/>
    <n v="11360"/>
    <d v="2019-03-07T00:00:00"/>
    <s v="Brokerage"/>
    <s v="Inception"/>
    <m/>
    <d v="2020-01-22T00:00:00"/>
  </r>
  <r>
    <s v="DDD"/>
    <x v="401"/>
    <x v="1"/>
    <d v="2019-03-27T00:00:00"/>
    <d v="2019-09-26T00:00:00"/>
    <s v="Engineering"/>
    <n v="1"/>
    <s v="Vinay"/>
    <s v="Ahmedabad"/>
    <x v="1"/>
    <x v="2"/>
    <n v="67102"/>
    <d v="2019-03-27T00:00:00"/>
    <s v="Brokerage"/>
    <s v="Inception"/>
    <m/>
    <d v="2020-01-22T00:00:00"/>
  </r>
  <r>
    <s v="DDD"/>
    <x v="401"/>
    <x v="1"/>
    <d v="2019-03-27T00:00:00"/>
    <d v="2019-09-26T00:00:00"/>
    <s v="Engineering"/>
    <n v="1"/>
    <s v="Vinay"/>
    <s v="Ahmedabad"/>
    <x v="1"/>
    <x v="2"/>
    <n v="0"/>
    <d v="2019-03-27T00:00:00"/>
    <s v="Brokerage"/>
    <s v="Inception"/>
    <m/>
    <d v="2020-01-22T00:00:00"/>
  </r>
  <r>
    <s v="DDD"/>
    <x v="402"/>
    <x v="0"/>
    <d v="2019-03-25T00:00:00"/>
    <d v="2021-03-24T00:00:00"/>
    <s v="Engineering"/>
    <n v="1"/>
    <s v="Vinay"/>
    <s v="Ahmedabad"/>
    <x v="1"/>
    <x v="2"/>
    <n v="120474.73"/>
    <d v="2020-12-08T00:00:00"/>
    <s v="Brokerage"/>
    <s v="Inception"/>
    <m/>
    <d v="2020-01-22T00:00:00"/>
  </r>
  <r>
    <s v="DDD"/>
    <x v="402"/>
    <x v="0"/>
    <d v="2019-03-25T00:00:00"/>
    <d v="2021-03-24T00:00:00"/>
    <s v="Engineering"/>
    <n v="1"/>
    <s v="Vinay"/>
    <s v="Ahmedabad"/>
    <x v="1"/>
    <x v="2"/>
    <n v="120474.73"/>
    <d v="2020-12-08T00:00:00"/>
    <s v="Brokerage"/>
    <s v="Inception"/>
    <m/>
    <d v="2020-01-22T00:00:00"/>
  </r>
  <r>
    <s v="DDD"/>
    <x v="402"/>
    <x v="0"/>
    <d v="2019-03-25T00:00:00"/>
    <d v="2021-03-24T00:00:00"/>
    <s v="Engineering"/>
    <n v="1"/>
    <s v="Vinay"/>
    <s v="Ahmedabad"/>
    <x v="1"/>
    <x v="2"/>
    <n v="153332.03"/>
    <d v="2020-01-31T00:00:00"/>
    <s v="Brokerage"/>
    <s v="Inception"/>
    <m/>
    <d v="2020-01-22T00:00:00"/>
  </r>
  <r>
    <s v="DDD"/>
    <x v="402"/>
    <x v="0"/>
    <d v="2019-03-25T00:00:00"/>
    <d v="2021-03-24T00:00:00"/>
    <s v="Engineering"/>
    <n v="1"/>
    <s v="Vinay"/>
    <s v="Ahmedabad"/>
    <x v="1"/>
    <x v="2"/>
    <n v="153332.03"/>
    <d v="2020-05-14T00:00:00"/>
    <s v="Brokerage"/>
    <s v="Inception"/>
    <m/>
    <d v="2020-01-22T00:00:00"/>
  </r>
  <r>
    <s v="DDD"/>
    <x v="402"/>
    <x v="0"/>
    <d v="2019-03-25T00:00:00"/>
    <d v="2021-03-24T00:00:00"/>
    <s v="Engineering"/>
    <n v="1"/>
    <s v="Vinay"/>
    <s v="Ahmedabad"/>
    <x v="1"/>
    <x v="2"/>
    <n v="153332.03"/>
    <d v="2020-08-26T00:00:00"/>
    <s v="Brokerage"/>
    <s v="Inception"/>
    <m/>
    <d v="2020-01-22T00:00:00"/>
  </r>
  <r>
    <s v="DDD"/>
    <x v="402"/>
    <x v="0"/>
    <d v="2019-03-25T00:00:00"/>
    <d v="2021-03-24T00:00:00"/>
    <s v="Engineering"/>
    <n v="1"/>
    <s v="Vinay"/>
    <s v="Ahmedabad"/>
    <x v="1"/>
    <x v="2"/>
    <n v="153332.03"/>
    <d v="2019-07-07T00:00:00"/>
    <s v="Brokerage"/>
    <s v="Inception"/>
    <m/>
    <d v="2020-01-22T00:00:00"/>
  </r>
  <r>
    <s v="DDD"/>
    <x v="402"/>
    <x v="0"/>
    <d v="2019-03-25T00:00:00"/>
    <d v="2021-03-24T00:00:00"/>
    <s v="Engineering"/>
    <n v="1"/>
    <s v="Vinay"/>
    <s v="Ahmedabad"/>
    <x v="1"/>
    <x v="2"/>
    <n v="153332.03"/>
    <d v="2019-10-19T00:00:00"/>
    <s v="Brokerage"/>
    <s v="Inception"/>
    <m/>
    <d v="2020-01-22T00:00:00"/>
  </r>
  <r>
    <s v="DDD"/>
    <x v="402"/>
    <x v="0"/>
    <d v="2019-03-25T00:00:00"/>
    <d v="2021-03-24T00:00:00"/>
    <s v="Engineering"/>
    <n v="1"/>
    <s v="Vinay"/>
    <s v="Ahmedabad"/>
    <x v="1"/>
    <x v="2"/>
    <n v="208093.46"/>
    <d v="2019-03-25T00:00:00"/>
    <s v="Brokerage"/>
    <s v="Inception"/>
    <m/>
    <d v="2020-01-22T00:00:00"/>
  </r>
  <r>
    <s v="DDD"/>
    <x v="402"/>
    <x v="0"/>
    <d v="2019-03-25T00:00:00"/>
    <d v="2021-03-24T00:00:00"/>
    <s v="Engineering"/>
    <n v="1"/>
    <s v="Vinay"/>
    <s v="Ahmedabad"/>
    <x v="1"/>
    <x v="2"/>
    <n v="0"/>
    <d v="2020-12-08T00:00:00"/>
    <s v="Brokerage"/>
    <s v="Inception"/>
    <m/>
    <d v="2020-01-22T00:00:00"/>
  </r>
  <r>
    <s v="DDD"/>
    <x v="402"/>
    <x v="0"/>
    <d v="2019-03-25T00:00:00"/>
    <d v="2021-03-24T00:00:00"/>
    <s v="Engineering"/>
    <n v="1"/>
    <s v="Vinay"/>
    <s v="Ahmedabad"/>
    <x v="1"/>
    <x v="2"/>
    <n v="0"/>
    <d v="2020-12-08T00:00:00"/>
    <s v="Brokerage"/>
    <s v="Inception"/>
    <m/>
    <d v="2020-01-22T00:00:00"/>
  </r>
  <r>
    <s v="DDD"/>
    <x v="402"/>
    <x v="0"/>
    <d v="2019-03-25T00:00:00"/>
    <d v="2021-03-24T00:00:00"/>
    <s v="Engineering"/>
    <n v="1"/>
    <s v="Vinay"/>
    <s v="Ahmedabad"/>
    <x v="1"/>
    <x v="2"/>
    <n v="0"/>
    <d v="2020-01-31T00:00:00"/>
    <s v="Brokerage"/>
    <s v="Inception"/>
    <m/>
    <d v="2020-01-22T00:00:00"/>
  </r>
  <r>
    <s v="DDD"/>
    <x v="402"/>
    <x v="0"/>
    <d v="2019-03-25T00:00:00"/>
    <d v="2021-03-24T00:00:00"/>
    <s v="Engineering"/>
    <n v="1"/>
    <s v="Vinay"/>
    <s v="Ahmedabad"/>
    <x v="1"/>
    <x v="2"/>
    <n v="0"/>
    <d v="2020-05-14T00:00:00"/>
    <s v="Brokerage"/>
    <s v="Inception"/>
    <m/>
    <d v="2020-01-22T00:00:00"/>
  </r>
  <r>
    <s v="DDD"/>
    <x v="402"/>
    <x v="0"/>
    <d v="2019-03-25T00:00:00"/>
    <d v="2021-03-24T00:00:00"/>
    <s v="Engineering"/>
    <n v="1"/>
    <s v="Vinay"/>
    <s v="Ahmedabad"/>
    <x v="1"/>
    <x v="2"/>
    <n v="0"/>
    <d v="2020-08-26T00:00:00"/>
    <s v="Brokerage"/>
    <s v="Inception"/>
    <m/>
    <d v="2020-01-22T00:00:00"/>
  </r>
  <r>
    <s v="DDD"/>
    <x v="402"/>
    <x v="0"/>
    <d v="2019-03-25T00:00:00"/>
    <d v="2021-03-24T00:00:00"/>
    <s v="Engineering"/>
    <n v="1"/>
    <s v="Vinay"/>
    <s v="Ahmedabad"/>
    <x v="1"/>
    <x v="2"/>
    <n v="0"/>
    <d v="2019-07-07T00:00:00"/>
    <s v="Brokerage"/>
    <s v="Inception"/>
    <m/>
    <d v="2020-01-22T00:00:00"/>
  </r>
  <r>
    <s v="DDD"/>
    <x v="402"/>
    <x v="0"/>
    <d v="2019-03-25T00:00:00"/>
    <d v="2021-03-24T00:00:00"/>
    <s v="Engineering"/>
    <n v="1"/>
    <s v="Vinay"/>
    <s v="Ahmedabad"/>
    <x v="1"/>
    <x v="2"/>
    <n v="0"/>
    <d v="2019-10-19T00:00:00"/>
    <s v="Brokerage"/>
    <s v="Inception"/>
    <m/>
    <d v="2020-01-22T00:00:00"/>
  </r>
  <r>
    <s v="DDD"/>
    <x v="402"/>
    <x v="0"/>
    <d v="2019-03-25T00:00:00"/>
    <d v="2021-03-24T00:00:00"/>
    <s v="Engineering"/>
    <n v="1"/>
    <s v="Vinay"/>
    <s v="Ahmedabad"/>
    <x v="1"/>
    <x v="2"/>
    <n v="0"/>
    <d v="2019-03-25T00:00:00"/>
    <s v="Brokerage"/>
    <s v="Inception"/>
    <m/>
    <d v="2020-01-22T00:00:00"/>
  </r>
  <r>
    <s v="DDD"/>
    <x v="403"/>
    <x v="1"/>
    <d v="2018-07-18T00:00:00"/>
    <d v="2019-07-17T00:00:00"/>
    <s v="Engineering"/>
    <n v="1"/>
    <s v="Vinay"/>
    <s v="Ahmedabad"/>
    <x v="4"/>
    <x v="0"/>
    <n v="8107.49"/>
    <d v="2018-07-18T00:00:00"/>
    <s v="Brokerage"/>
    <s v="Inception"/>
    <m/>
    <d v="2020-01-22T00:00:00"/>
  </r>
  <r>
    <s v="DDD"/>
    <x v="404"/>
    <x v="0"/>
    <d v="2019-02-18T00:00:00"/>
    <d v="2020-02-17T00:00:00"/>
    <s v="Engineering"/>
    <n v="1"/>
    <s v="Vinay"/>
    <s v="Ahmedabad"/>
    <x v="1"/>
    <x v="2"/>
    <n v="19113.41"/>
    <d v="2019-02-18T00:00:00"/>
    <s v="Brokerage"/>
    <s v="Inception"/>
    <m/>
    <d v="2020-01-22T00:00:00"/>
  </r>
  <r>
    <s v="DDD"/>
    <x v="405"/>
    <x v="0"/>
    <d v="2019-02-14T00:00:00"/>
    <d v="2020-02-13T00:00:00"/>
    <s v="Engineering"/>
    <n v="1"/>
    <s v="Vinay"/>
    <s v="Ahmedabad"/>
    <x v="1"/>
    <x v="0"/>
    <n v="12055.25"/>
    <d v="2019-02-14T00:00:00"/>
    <s v="Brokerage"/>
    <s v="Inception"/>
    <m/>
    <d v="2020-01-22T00:00:00"/>
  </r>
  <r>
    <s v="DDD"/>
    <x v="406"/>
    <x v="0"/>
    <d v="2018-09-10T00:00:00"/>
    <d v="2019-09-09T00:00:00"/>
    <s v="Miscellaneous"/>
    <n v="1"/>
    <s v="Vinay"/>
    <s v="Ahmedabad"/>
    <x v="4"/>
    <x v="0"/>
    <n v="484.75"/>
    <d v="2018-09-10T00:00:00"/>
    <s v="Brokerage"/>
    <s v="Inception"/>
    <m/>
    <d v="2020-01-22T00:00:00"/>
  </r>
  <r>
    <s v="DDD"/>
    <x v="407"/>
    <x v="0"/>
    <d v="2018-09-10T00:00:00"/>
    <d v="2019-09-09T00:00:00"/>
    <s v="Miscellaneous"/>
    <n v="1"/>
    <s v="Vinay"/>
    <s v="Ahmedabad"/>
    <x v="1"/>
    <x v="0"/>
    <n v="109.88"/>
    <d v="2018-09-10T00:00:00"/>
    <s v="Brokerage"/>
    <s v="Inception"/>
    <m/>
    <d v="2020-01-22T00:00:00"/>
  </r>
  <r>
    <s v="DDD"/>
    <x v="408"/>
    <x v="0"/>
    <d v="2019-02-14T00:00:00"/>
    <d v="2020-02-13T00:00:00"/>
    <s v="Miscellaneous"/>
    <n v="1"/>
    <s v="Vinay"/>
    <s v="Ahmedabad"/>
    <x v="1"/>
    <x v="0"/>
    <n v="27069"/>
    <d v="2019-02-14T00:00:00"/>
    <s v="Brokerage"/>
    <s v="Renewal"/>
    <m/>
    <d v="2020-01-22T00:00:00"/>
  </r>
  <r>
    <s v="DDD"/>
    <x v="409"/>
    <x v="0"/>
    <d v="2018-08-14T00:00:00"/>
    <d v="2021-02-13T00:00:00"/>
    <s v="Fire"/>
    <n v="1"/>
    <s v="Vinay"/>
    <s v="Ahmedabad"/>
    <x v="1"/>
    <x v="2"/>
    <n v="66556.88"/>
    <d v="2018-08-14T00:00:00"/>
    <s v="Brokerage"/>
    <s v="Inception"/>
    <m/>
    <d v="2020-01-22T00:00:00"/>
  </r>
  <r>
    <s v="DDD"/>
    <x v="410"/>
    <x v="0"/>
    <d v="2019-04-20T00:00:00"/>
    <d v="2019-07-19T00:00:00"/>
    <s v="Engineering"/>
    <n v="1"/>
    <s v="Vinay"/>
    <s v="Ahmedabad"/>
    <x v="1"/>
    <x v="2"/>
    <n v="40959.629999999997"/>
    <d v="2019-04-20T00:00:00"/>
    <s v="Brokerage"/>
    <s v="Renewal"/>
    <m/>
    <d v="2020-01-22T00:00:00"/>
  </r>
  <r>
    <s v="DDD"/>
    <x v="411"/>
    <x v="0"/>
    <d v="2019-07-09T00:00:00"/>
    <d v="2019-10-08T00:00:00"/>
    <s v="Engineering"/>
    <n v="11"/>
    <s v="Raju Kumar"/>
    <s v="Ahmedabad"/>
    <x v="1"/>
    <x v="2"/>
    <n v="8263.94"/>
    <d v="2019-07-09T00:00:00"/>
    <s v="Brokerage"/>
    <s v="Renewal"/>
    <m/>
    <d v="2020-01-22T00:00:00"/>
  </r>
  <r>
    <s v="DDD"/>
    <x v="411"/>
    <x v="0"/>
    <d v="2019-07-09T00:00:00"/>
    <d v="2019-10-08T00:00:00"/>
    <s v="Engineering"/>
    <n v="11"/>
    <s v="Raju Kumar"/>
    <s v="Ahmedabad"/>
    <x v="1"/>
    <x v="2"/>
    <n v="0"/>
    <d v="2019-07-09T00:00:00"/>
    <s v="Brokerage"/>
    <s v="Renewal"/>
    <m/>
    <d v="2020-01-22T00:00:00"/>
  </r>
  <r>
    <s v="DDD"/>
    <x v="412"/>
    <x v="0"/>
    <d v="2019-09-27T00:00:00"/>
    <d v="2020-03-26T00:00:00"/>
    <s v="Engineering"/>
    <n v="11"/>
    <s v="Raju Kumar"/>
    <s v="Ahmedabad"/>
    <x v="1"/>
    <x v="2"/>
    <n v="67102.13"/>
    <d v="2019-09-27T00:00:00"/>
    <s v="Brokerage"/>
    <s v="Renewal"/>
    <m/>
    <d v="2020-01-22T00:00:00"/>
  </r>
  <r>
    <s v="DDD"/>
    <x v="413"/>
    <x v="1"/>
    <d v="2019-04-01T00:00:00"/>
    <d v="2020-03-31T00:00:00"/>
    <s v="Engineering"/>
    <n v="11"/>
    <s v="Raju Kumar"/>
    <s v="Ahmedabad"/>
    <x v="1"/>
    <x v="0"/>
    <n v="90663.25"/>
    <d v="2019-04-01T00:00:00"/>
    <s v="Brokerage"/>
    <s v="Lapse"/>
    <s v="OTHR â€“ Other"/>
    <d v="2020-01-22T00:00:00"/>
  </r>
  <r>
    <s v="DDD"/>
    <x v="414"/>
    <x v="0"/>
    <d v="2019-04-01T00:00:00"/>
    <d v="2020-03-31T00:00:00"/>
    <s v="Engineering"/>
    <n v="11"/>
    <s v="Raju Kumar"/>
    <s v="Ahmedabad"/>
    <x v="1"/>
    <x v="2"/>
    <n v="90663.25"/>
    <d v="2019-04-01T00:00:00"/>
    <s v="Brokerage"/>
    <s v="Inception"/>
    <m/>
    <d v="2020-01-22T00:00:00"/>
  </r>
  <r>
    <s v="DDD"/>
    <x v="415"/>
    <x v="0"/>
    <d v="2019-07-18T00:00:00"/>
    <d v="2020-07-17T00:00:00"/>
    <s v="Engineering"/>
    <n v="1"/>
    <s v="Vinay"/>
    <s v="Ahmedabad"/>
    <x v="4"/>
    <x v="0"/>
    <n v="8854.8799999999992"/>
    <d v="2019-07-18T00:00:00"/>
    <s v="Brokerage"/>
    <s v="Renewal"/>
    <m/>
    <d v="2020-01-22T00:00:00"/>
  </r>
  <r>
    <s v="DDD"/>
    <x v="416"/>
    <x v="0"/>
    <d v="2019-04-01T00:00:00"/>
    <d v="2020-03-31T00:00:00"/>
    <s v="Engineering"/>
    <n v="1"/>
    <s v="Vinay"/>
    <s v="Ahmedabad"/>
    <x v="1"/>
    <x v="0"/>
    <n v="7187.34"/>
    <d v="2019-04-01T00:00:00"/>
    <s v="Brokerage"/>
    <s v="Inception"/>
    <m/>
    <d v="2020-01-22T00:00:00"/>
  </r>
  <r>
    <s v="DDD"/>
    <x v="416"/>
    <x v="0"/>
    <d v="2019-04-01T00:00:00"/>
    <d v="2020-03-31T00:00:00"/>
    <s v="Engineering"/>
    <n v="1"/>
    <s v="Vinay"/>
    <s v="Ahmedabad"/>
    <x v="1"/>
    <x v="0"/>
    <n v="0"/>
    <d v="2019-04-01T00:00:00"/>
    <s v="Brokerage"/>
    <s v="Inception"/>
    <m/>
    <d v="2020-01-22T00:00:00"/>
  </r>
  <r>
    <s v="DDD"/>
    <x v="417"/>
    <x v="1"/>
    <d v="2017-04-27T00:00:00"/>
    <d v="2018-04-26T00:00:00"/>
    <s v="Miscellaneous"/>
    <n v="1"/>
    <s v="Vinay"/>
    <s v="Ahmedabad"/>
    <x v="1"/>
    <x v="2"/>
    <n v="121755.9"/>
    <d v="2017-04-27T00:00:00"/>
    <s v="Brokerage"/>
    <s v="Lapse"/>
    <s v="Policy Renewed"/>
    <d v="2020-01-22T00:00:00"/>
  </r>
  <r>
    <s v="DDD"/>
    <x v="418"/>
    <x v="1"/>
    <d v="2018-04-01T00:00:00"/>
    <d v="2019-03-31T00:00:00"/>
    <s v="Miscellaneous"/>
    <n v="1"/>
    <s v="Vinay"/>
    <s v="Ahmedabad"/>
    <x v="4"/>
    <x v="2"/>
    <n v="96758.81"/>
    <d v="2018-04-01T00:00:00"/>
    <s v="Brokerage"/>
    <s v="Inception"/>
    <m/>
    <d v="2020-01-22T00:00:00"/>
  </r>
  <r>
    <s v="DDD"/>
    <x v="419"/>
    <x v="1"/>
    <d v="2018-04-27T00:00:00"/>
    <d v="2019-04-26T00:00:00"/>
    <s v="Miscellaneous"/>
    <n v="1"/>
    <s v="Vinay"/>
    <s v="Ahmedabad"/>
    <x v="1"/>
    <x v="0"/>
    <n v="149758.53"/>
    <d v="2018-05-27T00:00:00"/>
    <s v="Brokerage"/>
    <s v="Inception"/>
    <m/>
    <d v="2020-01-22T00:00:00"/>
  </r>
  <r>
    <s v="DDD"/>
    <x v="420"/>
    <x v="1"/>
    <d v="2018-06-07T00:00:00"/>
    <d v="2019-06-06T00:00:00"/>
    <s v="Miscellaneous"/>
    <n v="1"/>
    <s v="Vinay"/>
    <s v="Ahmedabad"/>
    <x v="4"/>
    <x v="2"/>
    <n v="9277.1"/>
    <d v="2018-06-07T00:00:00"/>
    <s v="Brokerage"/>
    <s v="Inception"/>
    <m/>
    <d v="2020-01-22T00:00:00"/>
  </r>
  <r>
    <s v="DDD"/>
    <x v="421"/>
    <x v="1"/>
    <d v="2018-07-16T00:00:00"/>
    <d v="2019-07-15T00:00:00"/>
    <s v="Miscellaneous"/>
    <n v="1"/>
    <s v="Vinay"/>
    <s v="Ahmedabad"/>
    <x v="1"/>
    <x v="2"/>
    <n v="16533.25"/>
    <d v="2018-07-16T00:00:00"/>
    <s v="Brokerage"/>
    <s v="Inception"/>
    <m/>
    <d v="2020-01-22T00:00:00"/>
  </r>
  <r>
    <s v="DDD"/>
    <x v="422"/>
    <x v="1"/>
    <d v="2018-07-16T00:00:00"/>
    <d v="2019-07-15T00:00:00"/>
    <s v="Miscellaneous"/>
    <n v="1"/>
    <s v="Vinay"/>
    <s v="Ahmedabad"/>
    <x v="4"/>
    <x v="2"/>
    <n v="15408.4"/>
    <d v="2018-07-16T00:00:00"/>
    <s v="Brokerage"/>
    <s v="Inception"/>
    <m/>
    <d v="2020-01-22T00:00:00"/>
  </r>
  <r>
    <s v="DDD"/>
    <x v="423"/>
    <x v="1"/>
    <d v="2018-07-16T00:00:00"/>
    <d v="2019-07-15T00:00:00"/>
    <s v="Miscellaneous"/>
    <n v="1"/>
    <s v="Vinay"/>
    <s v="Ahmedabad"/>
    <x v="4"/>
    <x v="2"/>
    <n v="56757.75"/>
    <d v="2018-07-16T00:00:00"/>
    <s v="Brokerage"/>
    <s v="Inception"/>
    <m/>
    <d v="2020-01-22T00:00:00"/>
  </r>
  <r>
    <s v="DDD"/>
    <x v="424"/>
    <x v="0"/>
    <d v="2019-04-01T00:00:00"/>
    <d v="2020-03-31T00:00:00"/>
    <s v="Miscellaneous"/>
    <n v="1"/>
    <s v="Vinay"/>
    <s v="Ahmedabad"/>
    <x v="4"/>
    <x v="0"/>
    <n v="60229.25"/>
    <d v="2019-04-01T00:00:00"/>
    <s v="Brokerage"/>
    <s v="Renewal"/>
    <m/>
    <d v="2020-01-22T00:00:00"/>
  </r>
  <r>
    <s v="DDD"/>
    <x v="425"/>
    <x v="0"/>
    <d v="2019-04-27T00:00:00"/>
    <d v="2019-05-26T00:00:00"/>
    <s v="Miscellaneous"/>
    <n v="1"/>
    <s v="Vinay"/>
    <s v="Ahmedabad"/>
    <x v="1"/>
    <x v="0"/>
    <n v="21358.38"/>
    <d v="2019-04-27T00:00:00"/>
    <s v="Brokerage"/>
    <s v="Renewal"/>
    <m/>
    <d v="2020-01-22T00:00:00"/>
  </r>
  <r>
    <s v="DDD"/>
    <x v="426"/>
    <x v="0"/>
    <d v="2019-06-12T00:00:00"/>
    <d v="2020-06-11T00:00:00"/>
    <s v="Miscellaneous"/>
    <n v="1"/>
    <s v="Vinay"/>
    <s v="Ahmedabad"/>
    <x v="4"/>
    <x v="2"/>
    <n v="10937.5"/>
    <d v="2019-06-12T00:00:00"/>
    <s v="Brokerage"/>
    <s v="Renewal"/>
    <m/>
    <d v="2020-01-22T00:00:00"/>
  </r>
  <r>
    <s v="DDD"/>
    <x v="427"/>
    <x v="0"/>
    <d v="2019-07-16T00:00:00"/>
    <d v="2020-07-15T00:00:00"/>
    <s v="Miscellaneous"/>
    <n v="1"/>
    <s v="Vinay"/>
    <s v="Ahmedabad"/>
    <x v="4"/>
    <x v="2"/>
    <n v="16474.5"/>
    <d v="2019-07-16T00:00:00"/>
    <s v="Brokerage"/>
    <s v="Renewal"/>
    <m/>
    <d v="2020-01-22T00:00:00"/>
  </r>
  <r>
    <s v="DDD"/>
    <x v="428"/>
    <x v="0"/>
    <d v="2019-07-16T00:00:00"/>
    <d v="2020-07-15T00:00:00"/>
    <s v="Miscellaneous"/>
    <n v="1"/>
    <s v="Vinay"/>
    <s v="Ahmedabad"/>
    <x v="1"/>
    <x v="2"/>
    <n v="10776.25"/>
    <d v="2019-07-16T00:00:00"/>
    <s v="Brokerage"/>
    <s v="Renewal"/>
    <m/>
    <d v="2020-01-22T00:00:00"/>
  </r>
  <r>
    <s v="DDD"/>
    <x v="429"/>
    <x v="0"/>
    <d v="2019-07-16T00:00:00"/>
    <d v="2020-07-15T00:00:00"/>
    <s v="Miscellaneous"/>
    <n v="1"/>
    <s v="Vinay"/>
    <s v="Ahmedabad"/>
    <x v="4"/>
    <x v="2"/>
    <n v="61042.25"/>
    <d v="2019-07-16T00:00:00"/>
    <s v="Brokerage"/>
    <s v="Renewal"/>
    <m/>
    <d v="2020-01-22T00:00:00"/>
  </r>
  <r>
    <s v="DDD"/>
    <x v="430"/>
    <x v="0"/>
    <d v="2019-07-15T00:00:00"/>
    <d v="2020-07-14T00:00:00"/>
    <s v="Fire"/>
    <n v="11"/>
    <s v="Raju Kumar"/>
    <s v="Ahmedabad"/>
    <x v="4"/>
    <x v="2"/>
    <n v="15601.02"/>
    <d v="2019-07-15T00:00:00"/>
    <s v="Brokerage"/>
    <s v="Inception"/>
    <m/>
    <d v="2020-01-22T00:00:00"/>
  </r>
  <r>
    <s v="DDD"/>
    <x v="431"/>
    <x v="0"/>
    <d v="2017-04-27T00:00:00"/>
    <d v="2018-04-26T00:00:00"/>
    <s v="Miscellaneous"/>
    <n v="1"/>
    <s v="Vinay"/>
    <s v="Ahmedabad"/>
    <x v="1"/>
    <x v="2"/>
    <n v="7000"/>
    <d v="2018-04-26T00:00:00"/>
    <s v="Brokerage"/>
    <s v="Inception"/>
    <m/>
    <d v="2020-01-22T00:00:00"/>
  </r>
  <r>
    <s v="DDD"/>
    <x v="432"/>
    <x v="1"/>
    <d v="2018-08-06T00:00:00"/>
    <d v="2019-08-05T00:00:00"/>
    <s v="Employee Benefits"/>
    <n v="13"/>
    <s v="Vididt Saha"/>
    <s v="Ahmedabad"/>
    <x v="3"/>
    <x v="0"/>
    <n v="21000"/>
    <d v="2018-08-06T00:00:00"/>
    <s v="Brokerage"/>
    <s v="Lapse"/>
    <s v="OTHR â€“ Other"/>
    <d v="2020-01-22T00:00:00"/>
  </r>
  <r>
    <s v="DDD"/>
    <x v="433"/>
    <x v="0"/>
    <d v="2019-08-10T00:00:00"/>
    <d v="2020-08-09T00:00:00"/>
    <s v="Employee Benefits"/>
    <n v="13"/>
    <s v="Vididt Saha"/>
    <s v="Ahmedabad"/>
    <x v="3"/>
    <x v="2"/>
    <n v="28069.13"/>
    <d v="2019-08-10T00:00:00"/>
    <s v="Brokerage"/>
    <s v="Inception"/>
    <m/>
    <d v="2020-01-22T00:00:00"/>
  </r>
  <r>
    <s v="DDD"/>
    <x v="434"/>
    <x v="0"/>
    <d v="2019-07-05T00:00:00"/>
    <d v="2020-07-04T00:00:00"/>
    <s v="Liability"/>
    <n v="2"/>
    <s v="Abhinav Shivam"/>
    <s v="Ahmedabad"/>
    <x v="2"/>
    <x v="1"/>
    <n v="72675"/>
    <d v="2019-07-05T00:00:00"/>
    <s v="Brokerage"/>
    <s v="Inception"/>
    <m/>
    <d v="2020-01-22T00:00:00"/>
  </r>
  <r>
    <s v="DDD"/>
    <x v="434"/>
    <x v="0"/>
    <d v="2019-07-05T00:00:00"/>
    <d v="2020-07-04T00:00:00"/>
    <s v="Liability"/>
    <n v="2"/>
    <s v="Abhinav Shivam"/>
    <s v="Ahmedabad"/>
    <x v="2"/>
    <x v="1"/>
    <n v="72675"/>
    <d v="2019-07-05T00:00:00"/>
    <s v="Brokerage"/>
    <s v="Inception"/>
    <m/>
    <d v="2020-01-22T00:00:00"/>
  </r>
  <r>
    <s v="LAP"/>
    <x v="435"/>
    <x v="1"/>
    <d v="2018-04-01T00:00:00"/>
    <d v="2019-03-31T00:00:00"/>
    <s v="Marine"/>
    <n v="6"/>
    <s v="Ketan Jain"/>
    <s v="Ahmedabad"/>
    <x v="0"/>
    <x v="0"/>
    <n v="23771.05"/>
    <d v="2018-04-01T00:00:00"/>
    <s v="Brokerage"/>
    <s v="Inception"/>
    <m/>
    <d v="2020-01-22T00:00:00"/>
  </r>
  <r>
    <s v="LAP"/>
    <x v="436"/>
    <x v="0"/>
    <d v="2019-04-01T00:00:00"/>
    <d v="2020-03-31T00:00:00"/>
    <s v="Marine"/>
    <n v="6"/>
    <s v="Ketan Jain"/>
    <s v="Ahmedabad"/>
    <x v="0"/>
    <x v="0"/>
    <n v="21399.439999999999"/>
    <d v="2019-05-31T00:00:00"/>
    <s v="Brokerage"/>
    <s v="Renewal"/>
    <m/>
    <d v="2020-01-22T00:00:00"/>
  </r>
  <r>
    <s v="LAP"/>
    <x v="437"/>
    <x v="0"/>
    <d v="2018-11-01T00:00:00"/>
    <d v="2019-10-31T00:00:00"/>
    <s v="Marine"/>
    <n v="1"/>
    <s v="Vinay"/>
    <s v="Ahmedabad"/>
    <x v="10"/>
    <x v="0"/>
    <n v="23100.17"/>
    <d v="2019-10-31T00:00:00"/>
    <s v="Brokerage"/>
    <s v="Inception"/>
    <m/>
    <d v="2020-01-22T00:00:00"/>
  </r>
  <r>
    <s v="LAP"/>
    <x v="438"/>
    <x v="0"/>
    <d v="2018-12-24T00:00:00"/>
    <d v="2019-12-23T00:00:00"/>
    <s v="Marine"/>
    <n v="1"/>
    <s v="Vinay"/>
    <s v="Ahmedabad"/>
    <x v="0"/>
    <x v="0"/>
    <n v="1113.92"/>
    <d v="2018-12-24T00:00:00"/>
    <s v="Brokerage"/>
    <s v="Inception"/>
    <m/>
    <d v="2020-01-22T00:00:00"/>
  </r>
  <r>
    <s v="LAP"/>
    <x v="439"/>
    <x v="0"/>
    <d v="2018-09-06T00:00:00"/>
    <d v="2019-09-05T00:00:00"/>
    <s v="Liability"/>
    <n v="13"/>
    <s v="Vididt Saha"/>
    <s v="Ahmedabad"/>
    <x v="2"/>
    <x v="2"/>
    <n v="65000"/>
    <d v="2018-09-06T00:00:00"/>
    <s v="Brokerage"/>
    <s v="Inception"/>
    <m/>
    <d v="2020-01-22T00:00:00"/>
  </r>
  <r>
    <s v="LAP"/>
    <x v="440"/>
    <x v="0"/>
    <d v="2019-02-26T00:00:00"/>
    <d v="2020-02-25T00:00:00"/>
    <s v="Engineering"/>
    <n v="13"/>
    <s v="Vididt Saha"/>
    <s v="Ahmedabad"/>
    <x v="1"/>
    <x v="2"/>
    <n v="2077.5"/>
    <d v="2019-02-26T00:00:00"/>
    <s v="Brokerage"/>
    <s v="Inception"/>
    <m/>
    <d v="2020-01-22T00:00:00"/>
  </r>
  <r>
    <s v="LAP"/>
    <x v="441"/>
    <x v="1"/>
    <d v="2017-11-10T00:00:00"/>
    <d v="2018-05-09T00:00:00"/>
    <s v="Miscellaneous"/>
    <n v="13"/>
    <s v="Vididt Saha"/>
    <s v="Ahmedabad"/>
    <x v="2"/>
    <x v="2"/>
    <n v="1566.2"/>
    <d v="2017-11-10T00:00:00"/>
    <s v="Brokerage"/>
    <s v="Lapse"/>
    <s v="NOLN - No Longer Needed"/>
    <d v="2020-01-22T00:00:00"/>
  </r>
  <r>
    <s v="LAP"/>
    <x v="442"/>
    <x v="1"/>
    <d v="2018-06-15T00:00:00"/>
    <d v="2018-07-14T00:00:00"/>
    <s v="Miscellaneous"/>
    <n v="13"/>
    <s v="Vididt Saha"/>
    <s v="Ahmedabad"/>
    <x v="2"/>
    <x v="2"/>
    <n v="639.25"/>
    <d v="2018-06-15T00:00:00"/>
    <s v="Brokerage"/>
    <s v="Lapse"/>
    <s v="NOLN - No Longer Needed"/>
    <d v="2020-01-22T00:00:00"/>
  </r>
  <r>
    <s v="LAP"/>
    <x v="443"/>
    <x v="1"/>
    <d v="2018-06-06T00:00:00"/>
    <d v="2019-06-05T00:00:00"/>
    <s v="Miscellaneous"/>
    <n v="13"/>
    <s v="Vididt Saha"/>
    <s v="Ahmedabad"/>
    <x v="2"/>
    <x v="2"/>
    <n v="1180.8800000000001"/>
    <d v="2018-06-06T00:00:00"/>
    <s v="Brokerage"/>
    <s v="Lapse"/>
    <s v="NOLN - No Longer Needed"/>
    <d v="2020-01-22T00:00:00"/>
  </r>
  <r>
    <s v="LAP"/>
    <x v="444"/>
    <x v="0"/>
    <d v="2019-07-02T00:00:00"/>
    <d v="2020-01-01T00:00:00"/>
    <s v="Miscellaneous"/>
    <n v="13"/>
    <s v="Vididt Saha"/>
    <s v="Ahmedabad"/>
    <x v="2"/>
    <x v="2"/>
    <n v="1558.76"/>
    <d v="2019-07-02T00:00:00"/>
    <s v="Brokerage"/>
    <s v="Inception"/>
    <m/>
    <d v="2020-01-22T00:00:00"/>
  </r>
  <r>
    <s v="LAP"/>
    <x v="439"/>
    <x v="0"/>
    <d v="2018-09-06T00:00:00"/>
    <d v="2024-03-05T00:00:00"/>
    <s v="Liability"/>
    <n v="13"/>
    <s v="Vididt Saha"/>
    <s v="Ahmedabad"/>
    <x v="2"/>
    <x v="2"/>
    <n v="59375"/>
    <d v="2018-09-06T00:00:00"/>
    <s v="Brokerage"/>
    <s v="Inception"/>
    <m/>
    <d v="2020-01-22T00:00:00"/>
  </r>
  <r>
    <s v="LAP"/>
    <x v="387"/>
    <x v="1"/>
    <d v="2017-01-09T00:00:00"/>
    <d v="2018-04-08T00:00:00"/>
    <s v="Engineering"/>
    <n v="13"/>
    <s v="Vididt Saha"/>
    <s v="Ahmedabad"/>
    <x v="1"/>
    <x v="2"/>
    <n v="56150.75"/>
    <d v="2017-01-09T00:00:00"/>
    <s v="Brokerage"/>
    <s v="Lapse"/>
    <s v="NOLN - No Longer Needed"/>
    <d v="2020-01-22T00:00:00"/>
  </r>
  <r>
    <s v="LAP"/>
    <x v="445"/>
    <x v="1"/>
    <d v="2017-11-10T00:00:00"/>
    <d v="2018-11-09T00:00:00"/>
    <s v="Miscellaneous"/>
    <n v="13"/>
    <s v="Vididt Saha"/>
    <s v="Ahmedabad"/>
    <x v="1"/>
    <x v="2"/>
    <n v="3132.5"/>
    <d v="2017-11-10T00:00:00"/>
    <s v="Brokerage"/>
    <s v="Lapse"/>
    <s v="NOLN - No Longer Needed"/>
    <d v="2020-01-22T00:00:00"/>
  </r>
  <r>
    <s v="LAP"/>
    <x v="445"/>
    <x v="0"/>
    <d v="2017-11-10T00:00:00"/>
    <d v="2019-11-09T00:00:00"/>
    <s v="Engineering"/>
    <n v="13"/>
    <s v="Vididt Saha"/>
    <s v="Ahmedabad"/>
    <x v="1"/>
    <x v="2"/>
    <n v="30978.63"/>
    <d v="2017-11-10T00:00:00"/>
    <s v="Brokerage"/>
    <s v="Inception"/>
    <m/>
    <d v="2020-01-22T00:00:00"/>
  </r>
  <r>
    <s v="LAP"/>
    <x v="445"/>
    <x v="0"/>
    <d v="2018-02-02T00:00:00"/>
    <d v="2020-02-01T00:00:00"/>
    <s v="Engineering"/>
    <n v="13"/>
    <s v="Vididt Saha"/>
    <s v="Ahmedabad"/>
    <x v="2"/>
    <x v="2"/>
    <n v="17934.88"/>
    <d v="2018-02-02T00:00:00"/>
    <s v="Brokerage"/>
    <s v="Inception"/>
    <m/>
    <d v="2020-01-22T00:00:00"/>
  </r>
  <r>
    <s v="LAP"/>
    <x v="445"/>
    <x v="0"/>
    <d v="2018-02-21T00:00:00"/>
    <d v="2020-02-20T00:00:00"/>
    <s v="Engineering"/>
    <n v="13"/>
    <s v="Vididt Saha"/>
    <s v="Ahmedabad"/>
    <x v="1"/>
    <x v="2"/>
    <n v="15668.25"/>
    <d v="2018-02-21T00:00:00"/>
    <s v="Brokerage"/>
    <s v="Inception"/>
    <m/>
    <d v="2020-01-22T00:00:00"/>
  </r>
  <r>
    <s v="LAP"/>
    <x v="149"/>
    <x v="0"/>
    <d v="2018-04-09T00:00:00"/>
    <d v="2019-07-08T00:00:00"/>
    <s v="Engineering"/>
    <n v="13"/>
    <s v="Vididt Saha"/>
    <s v="Ahmedabad"/>
    <x v="1"/>
    <x v="2"/>
    <n v="11239.38"/>
    <d v="2018-04-09T00:00:00"/>
    <s v="Brokerage"/>
    <s v="Inception"/>
    <m/>
    <d v="2020-01-22T00:00:00"/>
  </r>
  <r>
    <s v="LAP"/>
    <x v="149"/>
    <x v="1"/>
    <d v="2018-07-09T00:00:00"/>
    <d v="2018-10-08T00:00:00"/>
    <s v="Engineering"/>
    <n v="13"/>
    <s v="Vididt Saha"/>
    <s v="Ahmedabad"/>
    <x v="1"/>
    <x v="0"/>
    <n v="11239.38"/>
    <d v="2018-07-09T00:00:00"/>
    <s v="Brokerage"/>
    <s v="Lapse"/>
    <s v="NOLN - No Longer Needed"/>
    <d v="2020-01-22T00:00:00"/>
  </r>
  <r>
    <s v="LAP"/>
    <x v="149"/>
    <x v="0"/>
    <d v="2018-08-10T00:00:00"/>
    <d v="2020-02-09T00:00:00"/>
    <s v="Engineering"/>
    <n v="13"/>
    <s v="Vididt Saha"/>
    <s v="Ahmedabad"/>
    <x v="1"/>
    <x v="2"/>
    <n v="21442.38"/>
    <d v="2019-10-20T00:00:00"/>
    <s v="Brokerage"/>
    <s v="Inception"/>
    <m/>
    <d v="2020-01-22T00:00:00"/>
  </r>
  <r>
    <s v="LAP"/>
    <x v="149"/>
    <x v="0"/>
    <d v="2018-08-10T00:00:00"/>
    <d v="2020-02-09T00:00:00"/>
    <s v="Engineering"/>
    <n v="13"/>
    <s v="Vididt Saha"/>
    <s v="Ahmedabad"/>
    <x v="1"/>
    <x v="2"/>
    <n v="21442.75"/>
    <d v="2018-11-27T00:00:00"/>
    <s v="Brokerage"/>
    <s v="Inception"/>
    <m/>
    <d v="2020-01-22T00:00:00"/>
  </r>
  <r>
    <s v="LAP"/>
    <x v="149"/>
    <x v="0"/>
    <d v="2018-08-10T00:00:00"/>
    <d v="2020-02-09T00:00:00"/>
    <s v="Engineering"/>
    <n v="13"/>
    <s v="Vididt Saha"/>
    <s v="Ahmedabad"/>
    <x v="1"/>
    <x v="2"/>
    <n v="21442.75"/>
    <d v="2019-03-16T00:00:00"/>
    <s v="Brokerage"/>
    <s v="Inception"/>
    <m/>
    <d v="2020-01-22T00:00:00"/>
  </r>
  <r>
    <s v="LAP"/>
    <x v="149"/>
    <x v="0"/>
    <d v="2018-08-10T00:00:00"/>
    <d v="2020-02-09T00:00:00"/>
    <s v="Engineering"/>
    <n v="13"/>
    <s v="Vididt Saha"/>
    <s v="Ahmedabad"/>
    <x v="1"/>
    <x v="2"/>
    <n v="21442.75"/>
    <d v="2019-07-03T00:00:00"/>
    <s v="Brokerage"/>
    <s v="Inception"/>
    <m/>
    <d v="2020-01-22T00:00:00"/>
  </r>
  <r>
    <s v="LAP"/>
    <x v="149"/>
    <x v="0"/>
    <d v="2018-08-10T00:00:00"/>
    <d v="2020-02-09T00:00:00"/>
    <s v="Engineering"/>
    <n v="13"/>
    <s v="Vididt Saha"/>
    <s v="Ahmedabad"/>
    <x v="1"/>
    <x v="2"/>
    <n v="27085.5"/>
    <d v="2018-08-10T00:00:00"/>
    <s v="Brokerage"/>
    <s v="Inception"/>
    <m/>
    <d v="2020-01-22T00:00:00"/>
  </r>
  <r>
    <s v="LAP"/>
    <x v="149"/>
    <x v="0"/>
    <d v="2018-08-10T00:00:00"/>
    <d v="2020-02-09T00:00:00"/>
    <s v="Engineering"/>
    <n v="13"/>
    <s v="Vididt Saha"/>
    <s v="Ahmedabad"/>
    <x v="1"/>
    <x v="2"/>
    <n v="17949.04"/>
    <d v="2018-11-27T00:00:00"/>
    <s v="Brokerage"/>
    <s v="Inception"/>
    <m/>
    <d v="2020-01-22T00:00:00"/>
  </r>
  <r>
    <s v="LAP"/>
    <x v="149"/>
    <x v="0"/>
    <d v="2018-08-10T00:00:00"/>
    <d v="2020-02-09T00:00:00"/>
    <s v="Engineering"/>
    <n v="13"/>
    <s v="Vididt Saha"/>
    <s v="Ahmedabad"/>
    <x v="1"/>
    <x v="2"/>
    <n v="17949.04"/>
    <d v="2019-03-16T00:00:00"/>
    <s v="Brokerage"/>
    <s v="Inception"/>
    <m/>
    <d v="2020-01-22T00:00:00"/>
  </r>
  <r>
    <s v="LAP"/>
    <x v="149"/>
    <x v="0"/>
    <d v="2018-08-10T00:00:00"/>
    <d v="2020-02-09T00:00:00"/>
    <s v="Engineering"/>
    <n v="13"/>
    <s v="Vididt Saha"/>
    <s v="Ahmedabad"/>
    <x v="1"/>
    <x v="2"/>
    <n v="17949.04"/>
    <d v="2019-07-03T00:00:00"/>
    <s v="Brokerage"/>
    <s v="Inception"/>
    <m/>
    <d v="2020-01-22T00:00:00"/>
  </r>
  <r>
    <s v="LAP"/>
    <x v="149"/>
    <x v="0"/>
    <d v="2018-08-10T00:00:00"/>
    <d v="2020-02-09T00:00:00"/>
    <s v="Engineering"/>
    <n v="13"/>
    <s v="Vididt Saha"/>
    <s v="Ahmedabad"/>
    <x v="1"/>
    <x v="2"/>
    <n v="17949.04"/>
    <d v="2019-10-20T00:00:00"/>
    <s v="Brokerage"/>
    <s v="Inception"/>
    <m/>
    <d v="2020-01-22T00:00:00"/>
  </r>
  <r>
    <s v="LAP"/>
    <x v="149"/>
    <x v="0"/>
    <d v="2018-08-10T00:00:00"/>
    <d v="2020-02-09T00:00:00"/>
    <s v="Engineering"/>
    <n v="13"/>
    <s v="Vididt Saha"/>
    <s v="Ahmedabad"/>
    <x v="1"/>
    <x v="2"/>
    <n v="22672.47"/>
    <d v="2018-08-10T00:00:00"/>
    <s v="Brokerage"/>
    <s v="Inception"/>
    <m/>
    <d v="2020-01-22T00:00:00"/>
  </r>
  <r>
    <s v="LAP"/>
    <x v="149"/>
    <x v="0"/>
    <d v="2018-10-09T00:00:00"/>
    <d v="2019-10-08T00:00:00"/>
    <s v="Engineering"/>
    <n v="13"/>
    <s v="Vididt Saha"/>
    <s v="Ahmedabad"/>
    <x v="1"/>
    <x v="2"/>
    <n v="11239.38"/>
    <d v="2018-10-09T00:00:00"/>
    <s v="Brokerage"/>
    <s v="Inception"/>
    <m/>
    <d v="2020-01-22T00:00:00"/>
  </r>
  <r>
    <s v="LAP"/>
    <x v="446"/>
    <x v="0"/>
    <d v="2019-04-10T00:00:00"/>
    <d v="2019-06-09T00:00:00"/>
    <s v="Engineering"/>
    <n v="13"/>
    <s v="Vididt Saha"/>
    <s v="Ahmedabad"/>
    <x v="1"/>
    <x v="2"/>
    <n v="2212.38"/>
    <d v="2019-04-10T00:00:00"/>
    <s v="Brokerage"/>
    <s v="Inception"/>
    <m/>
    <d v="2020-01-22T00:00:00"/>
  </r>
  <r>
    <s v="LAP"/>
    <x v="447"/>
    <x v="1"/>
    <d v="2018-07-10T00:00:00"/>
    <d v="2018-10-09T00:00:00"/>
    <s v="Miscellaneous"/>
    <n v="13"/>
    <s v="Vididt Saha"/>
    <s v="Ahmedabad"/>
    <x v="2"/>
    <x v="2"/>
    <n v="1363"/>
    <d v="2018-07-10T00:00:00"/>
    <s v="Brokerage"/>
    <s v="Lapse"/>
    <s v="NOLN - No Longer Needed"/>
    <d v="2020-01-22T00:00:00"/>
  </r>
  <r>
    <s v="LAP"/>
    <x v="448"/>
    <x v="0"/>
    <d v="2019-03-25T00:00:00"/>
    <d v="2020-03-24T00:00:00"/>
    <s v="Motor"/>
    <n v="13"/>
    <s v="Vididt Saha"/>
    <s v="Ahmedabad"/>
    <x v="9"/>
    <x v="2"/>
    <n v="157.5"/>
    <d v="2019-03-25T00:00:00"/>
    <s v="Brokerage"/>
    <s v="Inception"/>
    <m/>
    <d v="2020-01-22T00:00:00"/>
  </r>
  <r>
    <s v="LAP"/>
    <x v="449"/>
    <x v="0"/>
    <d v="2019-03-29T00:00:00"/>
    <d v="2020-03-28T00:00:00"/>
    <s v="Motor"/>
    <n v="13"/>
    <s v="Vididt Saha"/>
    <s v="Ahmedabad"/>
    <x v="9"/>
    <x v="2"/>
    <n v="1749.45"/>
    <d v="2019-03-29T00:00:00"/>
    <s v="Brokerage"/>
    <s v="Inception"/>
    <m/>
    <d v="2020-01-22T00:00:00"/>
  </r>
  <r>
    <s v="LAP"/>
    <x v="450"/>
    <x v="0"/>
    <d v="2018-03-25T00:00:00"/>
    <d v="2019-03-24T00:00:00"/>
    <s v="Liability"/>
    <n v="1"/>
    <s v="Vinay"/>
    <s v="Ahmedabad"/>
    <x v="2"/>
    <x v="0"/>
    <n v="6250"/>
    <d v="2018-03-25T00:00:00"/>
    <s v="Brokerage"/>
    <s v="Inception"/>
    <m/>
    <d v="2020-01-22T00:00:00"/>
  </r>
  <r>
    <s v="LAP"/>
    <x v="451"/>
    <x v="0"/>
    <d v="2019-03-25T00:00:00"/>
    <d v="2020-03-24T00:00:00"/>
    <s v="Liability"/>
    <n v="9"/>
    <s v="Manish Sharma"/>
    <s v="Ahmedabad"/>
    <x v="2"/>
    <x v="0"/>
    <n v="8125"/>
    <d v="2019-03-25T00:00:00"/>
    <s v="Brokerage"/>
    <s v="Inception"/>
    <m/>
    <d v="2020-01-22T00:00:00"/>
  </r>
  <r>
    <s v="LAP"/>
    <x v="452"/>
    <x v="0"/>
    <d v="2019-07-15T00:00:00"/>
    <d v="2020-01-14T00:00:00"/>
    <s v="Miscellaneous"/>
    <n v="13"/>
    <s v="Vididt Saha"/>
    <s v="Ahmedabad"/>
    <x v="11"/>
    <x v="2"/>
    <n v="2788.75"/>
    <d v="2019-07-15T00:00:00"/>
    <s v="Brokerage"/>
    <s v="Inception"/>
    <m/>
    <d v="2020-01-22T00:00:00"/>
  </r>
  <r>
    <s v="LAP"/>
    <x v="453"/>
    <x v="0"/>
    <d v="2018-08-10T00:00:00"/>
    <d v="2019-06-09T00:00:00"/>
    <s v="Miscellaneous"/>
    <n v="13"/>
    <s v="Vididt Saha"/>
    <s v="Ahmedabad"/>
    <x v="2"/>
    <x v="1"/>
    <n v="7827.77"/>
    <d v="2018-08-10T00:00:00"/>
    <s v="Brokerage"/>
    <s v="Endorsement"/>
    <m/>
    <d v="2020-01-22T00:00:00"/>
  </r>
  <r>
    <s v="LAP"/>
    <x v="453"/>
    <x v="0"/>
    <d v="2018-08-10T00:00:00"/>
    <d v="2019-06-09T00:00:00"/>
    <s v="Miscellaneous"/>
    <n v="13"/>
    <s v="Vididt Saha"/>
    <s v="Ahmedabad"/>
    <x v="2"/>
    <x v="1"/>
    <n v="0"/>
    <d v="2018-10-25T00:00:00"/>
    <s v="Brokerage "/>
    <s v="Endorsement"/>
    <m/>
    <d v="2020-01-22T00:00:00"/>
  </r>
  <r>
    <s v="LAP"/>
    <x v="453"/>
    <x v="0"/>
    <d v="2018-08-10T00:00:00"/>
    <d v="2019-06-09T00:00:00"/>
    <s v="Miscellaneous"/>
    <n v="13"/>
    <s v="Vididt Saha"/>
    <s v="Ahmedabad"/>
    <x v="2"/>
    <x v="1"/>
    <n v="4194.8"/>
    <d v="2019-01-22T00:00:00"/>
    <s v="Brokerage "/>
    <s v="Endorsement"/>
    <m/>
    <d v="2020-01-22T00:00:00"/>
  </r>
  <r>
    <s v="LAP"/>
    <x v="454"/>
    <x v="1"/>
    <d v="2019-02-19T00:00:00"/>
    <d v="2020-05-18T00:00:00"/>
    <s v="Miscellaneous"/>
    <n v="13"/>
    <s v="Vididt Saha"/>
    <s v="Ahmedabad"/>
    <x v="2"/>
    <x v="2"/>
    <n v="1390.13"/>
    <d v="2019-02-19T00:00:00"/>
    <s v="Brokerage"/>
    <s v="Inception"/>
    <m/>
    <d v="2020-01-22T00:00:00"/>
  </r>
  <r>
    <s v="LAP"/>
    <x v="455"/>
    <x v="0"/>
    <d v="2020-05-18T00:00:00"/>
    <d v="2020-08-18T00:00:00"/>
    <s v="Miscellaneous"/>
    <n v="13"/>
    <s v="Vididt Saha"/>
    <s v="Ahmedabad"/>
    <x v="2"/>
    <x v="2"/>
    <n v="1390.13"/>
    <d v="2020-05-18T00:00:00"/>
    <s v="Brokerage"/>
    <s v="Renewal"/>
    <m/>
    <d v="2020-01-22T00:00:00"/>
  </r>
  <r>
    <s v="LAP"/>
    <x v="456"/>
    <x v="0"/>
    <d v="2019-06-10T00:00:00"/>
    <d v="2019-12-09T00:00:00"/>
    <s v="Miscellaneous"/>
    <n v="13"/>
    <s v="Vididt Saha"/>
    <s v="Ahmedabad"/>
    <x v="2"/>
    <x v="2"/>
    <n v="7835.19"/>
    <d v="2019-06-10T00:00:00"/>
    <s v="Brokerage"/>
    <s v="Inception"/>
    <m/>
    <d v="2020-01-22T00:00:00"/>
  </r>
  <r>
    <s v="LAP"/>
    <x v="457"/>
    <x v="0"/>
    <d v="2019-06-11T00:00:00"/>
    <d v="2019-12-10T00:00:00"/>
    <s v="Miscellaneous"/>
    <n v="13"/>
    <s v="Vididt Saha"/>
    <s v="Ahmedabad"/>
    <x v="2"/>
    <x v="2"/>
    <n v="7782.56"/>
    <d v="2019-06-11T00:00:00"/>
    <s v="Brokerage"/>
    <s v="Inception"/>
    <m/>
    <d v="2020-01-22T00:00:00"/>
  </r>
  <r>
    <s v="LAP"/>
    <x v="444"/>
    <x v="0"/>
    <d v="2019-07-02T00:00:00"/>
    <d v="2020-07-01T00:00:00"/>
    <s v="Miscellaneous"/>
    <n v="13"/>
    <s v="Vididt Saha"/>
    <s v="Ahmedabad"/>
    <x v="2"/>
    <x v="3"/>
    <n v="1558.76"/>
    <d v="2019-07-02T00:00:00"/>
    <s v="Brokerage"/>
    <s v="Inception"/>
    <m/>
    <d v="2020-01-22T00:00:00"/>
  </r>
  <r>
    <s v="LAP"/>
    <x v="150"/>
    <x v="0"/>
    <d v="2019-04-12T00:00:00"/>
    <d v="2019-10-11T00:00:00"/>
    <s v="Engineering"/>
    <n v="13"/>
    <s v="Vididt Saha"/>
    <s v="Ahmedabad"/>
    <x v="1"/>
    <x v="2"/>
    <n v="3007.5"/>
    <d v="2019-04-12T00:00:00"/>
    <s v="Brokerage"/>
    <s v="Inception"/>
    <m/>
    <d v="2020-01-22T00:00:00"/>
  </r>
  <r>
    <s v="LAP"/>
    <x v="150"/>
    <x v="0"/>
    <d v="2019-11-19T00:00:00"/>
    <d v="2020-11-18T00:00:00"/>
    <s v="Engineering"/>
    <n v="13"/>
    <s v="Vididt Saha"/>
    <s v="Ahmedabad"/>
    <x v="1"/>
    <x v="2"/>
    <n v="26804.5"/>
    <d v="2019-11-19T00:00:00"/>
    <s v="Brokerage"/>
    <s v="Inception"/>
    <m/>
    <d v="2020-01-22T00:00:00"/>
  </r>
  <r>
    <s v="LAP"/>
    <x v="458"/>
    <x v="1"/>
    <d v="2018-04-01T00:00:00"/>
    <d v="2019-03-31T00:00:00"/>
    <s v="Miscellaneous"/>
    <n v="3"/>
    <s v="Animesh Rawat"/>
    <s v="Ahmedabad"/>
    <x v="6"/>
    <x v="0"/>
    <n v="1771.98"/>
    <d v="2018-04-01T00:00:00"/>
    <s v="Brokerage"/>
    <s v="Inception"/>
    <m/>
    <d v="2020-01-22T00:00:00"/>
  </r>
  <r>
    <s v="LAP"/>
    <x v="458"/>
    <x v="1"/>
    <d v="2018-04-01T00:00:00"/>
    <d v="2019-03-31T00:00:00"/>
    <s v="Miscellaneous"/>
    <n v="3"/>
    <s v="Animesh Rawat"/>
    <s v="Ahmedabad"/>
    <x v="6"/>
    <x v="0"/>
    <n v="681.53"/>
    <d v="2018-04-01T00:00:00"/>
    <s v="Brokerage"/>
    <s v="Inception"/>
    <m/>
    <d v="2020-01-22T00:00:00"/>
  </r>
  <r>
    <s v="LAP"/>
    <x v="458"/>
    <x v="1"/>
    <d v="2018-04-01T00:00:00"/>
    <d v="2019-03-31T00:00:00"/>
    <s v="Miscellaneous"/>
    <n v="3"/>
    <s v="Animesh Rawat"/>
    <s v="Ahmedabad"/>
    <x v="6"/>
    <x v="0"/>
    <n v="272.61"/>
    <d v="2018-04-01T00:00:00"/>
    <s v="Brokerage"/>
    <s v="Inception"/>
    <m/>
    <d v="2020-01-22T00:00:00"/>
  </r>
  <r>
    <s v="LAP"/>
    <x v="459"/>
    <x v="1"/>
    <d v="2018-04-01T00:00:00"/>
    <d v="2019-03-31T00:00:00"/>
    <s v="Miscellaneous"/>
    <n v="3"/>
    <s v="Animesh Rawat"/>
    <s v="Ahmedabad"/>
    <x v="6"/>
    <x v="0"/>
    <n v="4175.3599999999997"/>
    <d v="2018-04-01T00:00:00"/>
    <s v="Brokerage"/>
    <s v="Inception"/>
    <m/>
    <d v="2020-01-22T00:00:00"/>
  </r>
  <r>
    <s v="LAP"/>
    <x v="459"/>
    <x v="1"/>
    <d v="2018-04-01T00:00:00"/>
    <d v="2019-03-31T00:00:00"/>
    <s v="Miscellaneous"/>
    <n v="3"/>
    <s v="Animesh Rawat"/>
    <s v="Ahmedabad"/>
    <x v="6"/>
    <x v="0"/>
    <n v="1605.91"/>
    <d v="2018-04-01T00:00:00"/>
    <s v="Brokerage"/>
    <s v="Inception"/>
    <m/>
    <d v="2020-01-22T00:00:00"/>
  </r>
  <r>
    <s v="LAP"/>
    <x v="459"/>
    <x v="1"/>
    <d v="2018-04-01T00:00:00"/>
    <d v="2019-03-31T00:00:00"/>
    <s v="Miscellaneous"/>
    <n v="3"/>
    <s v="Animesh Rawat"/>
    <s v="Ahmedabad"/>
    <x v="6"/>
    <x v="0"/>
    <n v="642.36"/>
    <d v="2018-04-01T00:00:00"/>
    <s v="Brokerage"/>
    <s v="Inception"/>
    <m/>
    <d v="2020-01-22T00:00:00"/>
  </r>
  <r>
    <s v="LAP"/>
    <x v="460"/>
    <x v="1"/>
    <d v="2018-04-01T00:00:00"/>
    <d v="2019-03-31T00:00:00"/>
    <s v="Fire"/>
    <n v="3"/>
    <s v="Animesh Rawat"/>
    <s v="Ahmedabad"/>
    <x v="6"/>
    <x v="0"/>
    <n v="23863.13"/>
    <d v="2108-03-31T00:00:00"/>
    <s v="Brokerage"/>
    <s v="Inception"/>
    <m/>
    <d v="2020-01-22T00:00:00"/>
  </r>
  <r>
    <s v="LAP"/>
    <x v="460"/>
    <x v="1"/>
    <d v="2018-04-01T00:00:00"/>
    <d v="2019-03-31T00:00:00"/>
    <s v="Fire"/>
    <n v="3"/>
    <s v="Animesh Rawat"/>
    <s v="Ahmedabad"/>
    <x v="6"/>
    <x v="0"/>
    <n v="9178.1299999999992"/>
    <d v="2108-03-31T00:00:00"/>
    <s v="Brokerage"/>
    <s v="Inception"/>
    <m/>
    <d v="2020-01-22T00:00:00"/>
  </r>
  <r>
    <s v="LAP"/>
    <x v="460"/>
    <x v="1"/>
    <d v="2018-04-01T00:00:00"/>
    <d v="2019-03-31T00:00:00"/>
    <s v="Fire"/>
    <n v="3"/>
    <s v="Animesh Rawat"/>
    <s v="Ahmedabad"/>
    <x v="6"/>
    <x v="0"/>
    <n v="3671.25"/>
    <d v="2108-03-31T00:00:00"/>
    <s v="Brokerage"/>
    <s v="Inception"/>
    <m/>
    <d v="2020-01-22T00:00:00"/>
  </r>
  <r>
    <s v="LAP"/>
    <x v="461"/>
    <x v="1"/>
    <d v="2018-04-01T00:00:00"/>
    <d v="2019-03-31T00:00:00"/>
    <s v="Fire"/>
    <n v="3"/>
    <s v="Animesh Rawat"/>
    <s v="Ahmedabad"/>
    <x v="6"/>
    <x v="0"/>
    <n v="157.13999999999999"/>
    <d v="2018-04-01T00:00:00"/>
    <s v="Brokerage"/>
    <s v="Inception"/>
    <m/>
    <d v="2020-01-22T00:00:00"/>
  </r>
  <r>
    <s v="LAP"/>
    <x v="461"/>
    <x v="1"/>
    <d v="2018-04-01T00:00:00"/>
    <d v="2019-03-31T00:00:00"/>
    <s v="Fire"/>
    <n v="3"/>
    <s v="Animesh Rawat"/>
    <s v="Ahmedabad"/>
    <x v="6"/>
    <x v="0"/>
    <n v="60.44"/>
    <d v="2018-04-01T00:00:00"/>
    <s v="Brokerage"/>
    <s v="Inception"/>
    <m/>
    <d v="2020-01-22T00:00:00"/>
  </r>
  <r>
    <s v="LAP"/>
    <x v="461"/>
    <x v="1"/>
    <d v="2018-04-01T00:00:00"/>
    <d v="2019-03-31T00:00:00"/>
    <s v="Fire"/>
    <n v="3"/>
    <s v="Animesh Rawat"/>
    <s v="Ahmedabad"/>
    <x v="6"/>
    <x v="0"/>
    <n v="24.17"/>
    <d v="2018-04-01T00:00:00"/>
    <s v="Brokerage"/>
    <s v="Inception"/>
    <m/>
    <d v="2020-01-22T00:00:00"/>
  </r>
  <r>
    <s v="LAP"/>
    <x v="462"/>
    <x v="0"/>
    <d v="2018-04-01T00:00:00"/>
    <d v="2019-03-31T00:00:00"/>
    <s v="Fire"/>
    <n v="3"/>
    <s v="Animesh Rawat"/>
    <s v="Ahmedabad"/>
    <x v="6"/>
    <x v="0"/>
    <n v="23753.439999999999"/>
    <d v="2018-04-01T00:00:00"/>
    <s v="Brokerage"/>
    <s v="Inception"/>
    <m/>
    <d v="2020-01-22T00:00:00"/>
  </r>
  <r>
    <s v="LAP"/>
    <x v="462"/>
    <x v="0"/>
    <d v="2018-04-01T00:00:00"/>
    <d v="2019-03-31T00:00:00"/>
    <s v="Fire"/>
    <n v="3"/>
    <s v="Animesh Rawat"/>
    <s v="Ahmedabad"/>
    <x v="6"/>
    <x v="0"/>
    <n v="9135.94"/>
    <d v="2018-04-01T00:00:00"/>
    <s v="Brokerage"/>
    <s v="Inception"/>
    <m/>
    <d v="2020-01-22T00:00:00"/>
  </r>
  <r>
    <s v="LAP"/>
    <x v="462"/>
    <x v="0"/>
    <d v="2018-04-01T00:00:00"/>
    <d v="2019-03-31T00:00:00"/>
    <s v="Fire"/>
    <n v="3"/>
    <s v="Animesh Rawat"/>
    <s v="Ahmedabad"/>
    <x v="6"/>
    <x v="0"/>
    <n v="3654.37"/>
    <d v="2018-04-01T00:00:00"/>
    <s v="Brokerage"/>
    <s v="Inception"/>
    <m/>
    <d v="2020-01-22T00:00:00"/>
  </r>
  <r>
    <s v="LAP"/>
    <x v="463"/>
    <x v="0"/>
    <d v="2019-04-01T00:00:00"/>
    <d v="2020-03-31T00:00:00"/>
    <s v="Miscellaneous"/>
    <n v="3"/>
    <s v="Animesh Rawat"/>
    <s v="Ahmedabad"/>
    <x v="6"/>
    <x v="0"/>
    <n v="445.18"/>
    <d v="2019-04-01T00:00:00"/>
    <s v="Brokerage"/>
    <s v="Inception"/>
    <m/>
    <d v="2020-01-22T00:00:00"/>
  </r>
  <r>
    <s v="LAP"/>
    <x v="464"/>
    <x v="1"/>
    <d v="2018-04-01T00:00:00"/>
    <d v="2019-03-31T00:00:00"/>
    <s v="Miscellaneous"/>
    <n v="3"/>
    <s v="Animesh Rawat"/>
    <s v="Ahmedabad"/>
    <x v="6"/>
    <x v="0"/>
    <n v="1598.68"/>
    <d v="2018-04-01T00:00:00"/>
    <s v="Brokerage"/>
    <s v="Inception"/>
    <m/>
    <d v="2020-01-22T00:00:00"/>
  </r>
  <r>
    <s v="LAP"/>
    <x v="464"/>
    <x v="1"/>
    <d v="2018-04-01T00:00:00"/>
    <d v="2019-03-31T00:00:00"/>
    <s v="Miscellaneous"/>
    <n v="3"/>
    <s v="Animesh Rawat"/>
    <s v="Ahmedabad"/>
    <x v="6"/>
    <x v="0"/>
    <n v="614.88"/>
    <d v="2018-04-01T00:00:00"/>
    <s v="Brokerage"/>
    <s v="Inception"/>
    <m/>
    <d v="2020-01-22T00:00:00"/>
  </r>
  <r>
    <s v="LAP"/>
    <x v="464"/>
    <x v="1"/>
    <d v="2018-04-01T00:00:00"/>
    <d v="2019-03-31T00:00:00"/>
    <s v="Miscellaneous"/>
    <n v="3"/>
    <s v="Animesh Rawat"/>
    <s v="Ahmedabad"/>
    <x v="6"/>
    <x v="0"/>
    <n v="245.95"/>
    <d v="2018-04-01T00:00:00"/>
    <s v="Brokerage"/>
    <s v="Inception"/>
    <m/>
    <d v="2020-01-22T00:00:00"/>
  </r>
  <r>
    <s v="LAP"/>
    <x v="463"/>
    <x v="0"/>
    <d v="2019-04-01T00:00:00"/>
    <d v="2020-03-31T00:00:00"/>
    <s v="Miscellaneous"/>
    <n v="3"/>
    <s v="Animesh Rawat"/>
    <s v="Ahmedabad"/>
    <x v="6"/>
    <x v="0"/>
    <n v="2077.5100000000002"/>
    <d v="2019-04-01T00:00:00"/>
    <s v="Brokerage"/>
    <s v="Inception"/>
    <m/>
    <d v="2020-01-22T00:00:00"/>
  </r>
  <r>
    <s v="LAP"/>
    <x v="463"/>
    <x v="0"/>
    <d v="2019-04-01T00:00:00"/>
    <d v="2020-03-31T00:00:00"/>
    <s v="Miscellaneous"/>
    <n v="3"/>
    <s v="Animesh Rawat"/>
    <s v="Ahmedabad"/>
    <x v="6"/>
    <x v="0"/>
    <n v="445.18"/>
    <d v="2019-04-01T00:00:00"/>
    <s v="Brokerage"/>
    <s v="Inception"/>
    <m/>
    <d v="2020-01-22T00:00:00"/>
  </r>
  <r>
    <s v="LAP"/>
    <x v="465"/>
    <x v="0"/>
    <d v="2018-12-16T00:00:00"/>
    <d v="2019-12-15T00:00:00"/>
    <s v="Fire"/>
    <n v="1"/>
    <s v="Vinay"/>
    <s v="Ahmedabad"/>
    <x v="4"/>
    <x v="0"/>
    <n v="33484.339999999997"/>
    <d v="2018-12-16T00:00:00"/>
    <s v="Brokerage"/>
    <s v="Inception"/>
    <m/>
    <d v="2020-01-22T00:00:00"/>
  </r>
  <r>
    <s v="LAP"/>
    <x v="466"/>
    <x v="0"/>
    <d v="2019-12-16T00:00:00"/>
    <d v="2020-12-15T00:00:00"/>
    <s v="Fire"/>
    <n v="2"/>
    <s v="Abhinav Shivam"/>
    <s v="Ahmedabad"/>
    <x v="5"/>
    <x v="0"/>
    <n v="109812.12"/>
    <d v="2019-12-16T00:00:00"/>
    <s v="Brokerage"/>
    <s v="Inception"/>
    <m/>
    <d v="2020-01-22T00:00:00"/>
  </r>
  <r>
    <s v="LAP"/>
    <x v="467"/>
    <x v="0"/>
    <d v="2018-01-10T00:00:00"/>
    <d v="2018-05-31T00:00:00"/>
    <s v="Liability"/>
    <n v="12"/>
    <s v="Shivani Sharma"/>
    <s v="Ahmedabad"/>
    <x v="6"/>
    <x v="0"/>
    <n v="12084.5"/>
    <d v="2018-01-10T00:00:00"/>
    <s v="Brokerage"/>
    <s v="Inception"/>
    <m/>
    <d v="2020-01-22T00:00:00"/>
  </r>
  <r>
    <s v="LAP"/>
    <x v="445"/>
    <x v="1"/>
    <d v="2018-03-26T00:00:00"/>
    <d v="2019-06-25T00:00:00"/>
    <s v="Engineering"/>
    <n v="13"/>
    <s v="Vididt Saha"/>
    <s v="Ahmedabad"/>
    <x v="1"/>
    <x v="1"/>
    <n v="51965.88"/>
    <d v="2018-03-26T00:00:00"/>
    <s v="Brokerage"/>
    <s v="Lapse"/>
    <s v="OTHR â€“ Other"/>
    <d v="2020-01-22T00:00:00"/>
  </r>
  <r>
    <s v="LAP"/>
    <x v="149"/>
    <x v="1"/>
    <d v="2018-06-07T00:00:00"/>
    <d v="2019-06-06T00:00:00"/>
    <s v="Engineering"/>
    <n v="13"/>
    <s v="Vididt Saha"/>
    <s v="Ahmedabad"/>
    <x v="1"/>
    <x v="2"/>
    <n v="25619.25"/>
    <d v="2018-06-07T00:00:00"/>
    <s v="Brokerage"/>
    <s v="Lapse"/>
    <s v="OTHR â€“ Other"/>
    <d v="2020-01-22T00:00:00"/>
  </r>
  <r>
    <s v="LAP"/>
    <x v="150"/>
    <x v="0"/>
    <d v="2019-06-26T00:00:00"/>
    <d v="2019-12-25T00:00:00"/>
    <s v="Engineering"/>
    <n v="13"/>
    <s v="Vididt Saha"/>
    <s v="Ahmedabad"/>
    <x v="1"/>
    <x v="2"/>
    <n v="25598"/>
    <d v="2019-06-26T00:00:00"/>
    <s v="Brokerage"/>
    <s v="Inception"/>
    <m/>
    <d v="2020-01-22T00:00:00"/>
  </r>
  <r>
    <s v="LAP"/>
    <x v="150"/>
    <x v="0"/>
    <d v="2019-06-26T00:00:00"/>
    <d v="2019-12-25T00:00:00"/>
    <s v="Engineering"/>
    <n v="13"/>
    <s v="Vididt Saha"/>
    <s v="Ahmedabad"/>
    <x v="1"/>
    <x v="2"/>
    <n v="25598"/>
    <d v="2019-06-26T00:00:00"/>
    <s v="Brokerage"/>
    <s v="Inception"/>
    <m/>
    <d v="2020-01-22T00:00:00"/>
  </r>
  <r>
    <s v="LAP"/>
    <x v="150"/>
    <x v="0"/>
    <d v="2019-11-22T00:00:00"/>
    <d v="2020-03-21T00:00:00"/>
    <s v="Engineering"/>
    <n v="13"/>
    <s v="Vididt Saha"/>
    <s v="Ahmedabad"/>
    <x v="1"/>
    <x v="1"/>
    <n v="12643.38"/>
    <d v="2019-11-22T00:00:00"/>
    <s v="Brokerage"/>
    <s v="Inception"/>
    <m/>
    <d v="2020-01-22T00:00:00"/>
  </r>
  <r>
    <s v="LAP"/>
    <x v="150"/>
    <x v="0"/>
    <d v="2019-12-26T00:00:00"/>
    <d v="2020-06-25T00:00:00"/>
    <s v="Engineering"/>
    <n v="13"/>
    <s v="Vididt Saha"/>
    <s v="Ahmedabad"/>
    <x v="1"/>
    <x v="2"/>
    <n v="25598"/>
    <d v="2019-12-26T00:00:00"/>
    <s v="Brokerage"/>
    <s v="Inception"/>
    <m/>
    <d v="2020-01-22T00:00:00"/>
  </r>
  <r>
    <s v="LAP"/>
    <x v="468"/>
    <x v="1"/>
    <d v="2018-01-01T00:00:00"/>
    <d v="2018-12-31T00:00:00"/>
    <s v="Employee Benefits"/>
    <n v="10"/>
    <s v="Mark"/>
    <s v="Ahmedabad"/>
    <x v="3"/>
    <x v="0"/>
    <n v="1474120.36"/>
    <d v="2018-01-01T00:00:00"/>
    <s v="Brokerage"/>
    <s v="Lapse"/>
    <s v="GMAN â€“ Global Mandate"/>
    <d v="2020-01-22T00:00:00"/>
  </r>
  <r>
    <s v="LAP"/>
    <x v="468"/>
    <x v="1"/>
    <d v="2018-01-01T00:00:00"/>
    <d v="2018-12-31T00:00:00"/>
    <s v="Employee Benefits"/>
    <n v="10"/>
    <s v="Mark"/>
    <s v="Ahmedabad"/>
    <x v="3"/>
    <x v="0"/>
    <m/>
    <d v="2018-09-28T00:00:00"/>
    <s v="Brokerage "/>
    <s v="Lapse"/>
    <m/>
    <d v="2020-01-22T00:00:00"/>
  </r>
  <r>
    <s v="LAP"/>
    <x v="469"/>
    <x v="1"/>
    <d v="2018-01-01T00:00:00"/>
    <d v="2018-12-31T00:00:00"/>
    <s v="Employee Benefits"/>
    <n v="10"/>
    <s v="Mark"/>
    <s v="Ahmedabad"/>
    <x v="3"/>
    <x v="0"/>
    <n v="34349.81"/>
    <d v="2018-01-01T00:00:00"/>
    <s v="Brokerage"/>
    <s v="Lapse"/>
    <s v="GMAN â€“ Global Mandate"/>
    <d v="2020-01-22T00:00:00"/>
  </r>
  <r>
    <s v="LAP"/>
    <x v="470"/>
    <x v="1"/>
    <d v="2018-01-01T00:00:00"/>
    <d v="2018-12-31T00:00:00"/>
    <s v="Employee Benefits"/>
    <n v="10"/>
    <s v="Mark"/>
    <s v="Ahmedabad"/>
    <x v="3"/>
    <x v="0"/>
    <n v="51883.58"/>
    <d v="2018-01-01T00:00:00"/>
    <s v="Brokerage"/>
    <s v="Lapse"/>
    <s v="GMAN â€“ Global Mandate"/>
    <d v="2020-01-22T00:00:00"/>
  </r>
  <r>
    <s v="LAP"/>
    <x v="471"/>
    <x v="1"/>
    <d v="2017-07-03T00:00:00"/>
    <d v="2018-07-02T00:00:00"/>
    <s v="Miscellaneous"/>
    <n v="13"/>
    <s v="Vididt Saha"/>
    <s v="Ahmedabad"/>
    <x v="3"/>
    <x v="0"/>
    <n v="15963.92"/>
    <d v="2017-07-03T00:00:00"/>
    <s v="Brokerage"/>
    <s v="Inception"/>
    <m/>
    <d v="2020-01-22T00:00:00"/>
  </r>
  <r>
    <s v="LAP"/>
    <x v="472"/>
    <x v="1"/>
    <d v="2018-07-03T00:00:00"/>
    <d v="2019-07-02T00:00:00"/>
    <s v="Miscellaneous"/>
    <n v="13"/>
    <s v="Vididt Saha"/>
    <s v="Ahmedabad"/>
    <x v="3"/>
    <x v="0"/>
    <n v="0"/>
    <d v="2018-07-03T00:00:00"/>
    <s v="Brokerage"/>
    <s v="Renewal"/>
    <m/>
    <d v="2020-01-22T00:00:00"/>
  </r>
  <r>
    <s v="LAP"/>
    <x v="473"/>
    <x v="0"/>
    <d v="2019-07-03T00:00:00"/>
    <d v="2019-10-02T00:00:00"/>
    <s v="Miscellaneous"/>
    <n v="13"/>
    <s v="Vididt Saha"/>
    <s v="Ahmedabad"/>
    <x v="3"/>
    <x v="0"/>
    <n v="956.34"/>
    <d v="2019-07-03T00:00:00"/>
    <s v="Brokerage"/>
    <s v="Renewal"/>
    <m/>
    <d v="2020-01-22T00:00:00"/>
  </r>
  <r>
    <s v="LAP"/>
    <x v="474"/>
    <x v="1"/>
    <d v="2018-01-12T00:00:00"/>
    <d v="2019-01-11T00:00:00"/>
    <s v="Fire"/>
    <n v="13"/>
    <s v="Vididt Saha"/>
    <s v="Ahmedabad"/>
    <x v="4"/>
    <x v="1"/>
    <n v="5416.62"/>
    <d v="2018-01-12T00:00:00"/>
    <s v="Brokerage"/>
    <s v="Inception"/>
    <m/>
    <d v="2020-01-22T00:00:00"/>
  </r>
  <r>
    <s v="LAP"/>
    <x v="475"/>
    <x v="1"/>
    <d v="2018-01-12T00:00:00"/>
    <d v="2019-01-11T00:00:00"/>
    <s v="Marine"/>
    <n v="13"/>
    <s v="Vididt Saha"/>
    <s v="Ahmedabad"/>
    <x v="0"/>
    <x v="1"/>
    <n v="6195.75"/>
    <d v="2018-01-12T00:00:00"/>
    <s v="Brokerage"/>
    <s v="Inception"/>
    <m/>
    <d v="2020-01-22T00:00:00"/>
  </r>
  <r>
    <s v="LAP"/>
    <x v="476"/>
    <x v="1"/>
    <d v="2018-01-12T00:00:00"/>
    <d v="2019-01-11T00:00:00"/>
    <s v="Miscellaneous"/>
    <n v="13"/>
    <s v="Vididt Saha"/>
    <s v="Ahmedabad"/>
    <x v="4"/>
    <x v="2"/>
    <n v="518.13"/>
    <d v="2018-01-12T00:00:00"/>
    <s v="Brokerage"/>
    <s v="Inception"/>
    <m/>
    <d v="2020-01-22T00:00:00"/>
  </r>
  <r>
    <s v="LAP"/>
    <x v="477"/>
    <x v="1"/>
    <d v="2018-10-19T00:00:00"/>
    <d v="2019-10-18T00:00:00"/>
    <s v="Miscellaneous"/>
    <n v="13"/>
    <s v="Vididt Saha"/>
    <s v="Ahmedabad"/>
    <x v="2"/>
    <x v="2"/>
    <n v="2767.5"/>
    <d v="2018-10-19T00:00:00"/>
    <s v="Brokerage"/>
    <s v="Lapse"/>
    <s v="NOLN - No Longer Needed"/>
    <d v="2020-01-22T00:00:00"/>
  </r>
  <r>
    <s v="LAP"/>
    <x v="478"/>
    <x v="0"/>
    <d v="2019-10-25T00:00:00"/>
    <d v="2020-10-24T00:00:00"/>
    <s v="Miscellaneous"/>
    <n v="13"/>
    <s v="Vididt Saha"/>
    <s v="Ahmedabad"/>
    <x v="2"/>
    <x v="2"/>
    <n v="8198.25"/>
    <d v="2019-10-25T00:00:00"/>
    <s v="Brokerage"/>
    <s v="Inception"/>
    <m/>
    <d v="2020-01-22T00:00:00"/>
  </r>
  <r>
    <s v="LAP"/>
    <x v="479"/>
    <x v="0"/>
    <d v="2019-01-12T00:00:00"/>
    <d v="2020-01-11T00:00:00"/>
    <s v="Marine"/>
    <n v="13"/>
    <s v="Vididt Saha"/>
    <s v="Ahmedabad"/>
    <x v="0"/>
    <x v="1"/>
    <n v="9075"/>
    <d v="2019-01-12T00:00:00"/>
    <s v="Brokerage"/>
    <s v="Renewal"/>
    <m/>
    <d v="2020-01-22T00:00:00"/>
  </r>
  <r>
    <s v="LAP"/>
    <x v="479"/>
    <x v="0"/>
    <d v="2019-01-12T00:00:00"/>
    <d v="2020-01-11T00:00:00"/>
    <s v="Marine"/>
    <n v="13"/>
    <s v="Vididt Saha"/>
    <s v="Ahmedabad"/>
    <x v="0"/>
    <x v="1"/>
    <n v="9075"/>
    <d v="2019-01-12T00:00:00"/>
    <s v="Brokerage"/>
    <s v="Renewal"/>
    <m/>
    <d v="2020-01-22T00:00:00"/>
  </r>
  <r>
    <s v="LAP"/>
    <x v="480"/>
    <x v="0"/>
    <d v="2019-01-12T00:00:00"/>
    <d v="2020-01-11T00:00:00"/>
    <s v="Miscellaneous"/>
    <n v="13"/>
    <s v="Vididt Saha"/>
    <s v="Ahmedabad"/>
    <x v="4"/>
    <x v="2"/>
    <n v="521.25"/>
    <d v="2019-01-12T00:00:00"/>
    <s v="Brokerage"/>
    <s v="Renewal"/>
    <m/>
    <d v="2020-01-22T00:00:00"/>
  </r>
  <r>
    <s v="LAP"/>
    <x v="481"/>
    <x v="0"/>
    <d v="2019-01-12T00:00:00"/>
    <d v="2020-01-11T00:00:00"/>
    <s v="Fire"/>
    <n v="13"/>
    <s v="Vididt Saha"/>
    <s v="Ahmedabad"/>
    <x v="4"/>
    <x v="1"/>
    <n v="7889.31"/>
    <d v="2019-01-12T00:00:00"/>
    <s v="Brokerage"/>
    <s v="Renewal"/>
    <m/>
    <d v="2020-01-22T00:00:00"/>
  </r>
  <r>
    <s v="LAP"/>
    <x v="482"/>
    <x v="1"/>
    <d v="2018-11-01T00:00:00"/>
    <d v="2019-10-31T00:00:00"/>
    <s v="Employee Benefits"/>
    <n v="10"/>
    <s v="Mark"/>
    <s v="Ahmedabad"/>
    <x v="3"/>
    <x v="0"/>
    <n v="90307.75"/>
    <d v="2018-11-01T00:00:00"/>
    <s v="Brokerage"/>
    <s v="Inception"/>
    <m/>
    <d v="2020-01-22T00:00:00"/>
  </r>
  <r>
    <s v="LAP"/>
    <x v="483"/>
    <x v="0"/>
    <d v="2019-11-01T00:00:00"/>
    <d v="2020-10-31T00:00:00"/>
    <s v="Employee Benefits"/>
    <n v="10"/>
    <s v="Mark"/>
    <s v="Ahmedabad"/>
    <x v="3"/>
    <x v="0"/>
    <n v="114751.5"/>
    <d v="2019-11-01T00:00:00"/>
    <s v="Brokerage"/>
    <s v="Renewal"/>
    <m/>
    <d v="2020-01-22T00:00:00"/>
  </r>
  <r>
    <s v="LAP"/>
    <x v="484"/>
    <x v="0"/>
    <d v="2018-11-01T00:00:00"/>
    <d v="2019-10-31T00:00:00"/>
    <s v="Liability"/>
    <n v="3"/>
    <s v="Animesh Rawat"/>
    <s v="Ahmedabad"/>
    <x v="6"/>
    <x v="0"/>
    <n v="52751.13"/>
    <d v="2018-11-01T00:00:00"/>
    <s v="Brokerage"/>
    <s v="Inception"/>
    <m/>
    <d v="2020-01-22T00:00:00"/>
  </r>
  <r>
    <s v="LAP"/>
    <x v="485"/>
    <x v="0"/>
    <d v="2018-11-01T00:00:00"/>
    <d v="2019-10-31T00:00:00"/>
    <s v="Liability"/>
    <n v="3"/>
    <s v="Animesh Rawat"/>
    <s v="Ahmedabad"/>
    <x v="6"/>
    <x v="0"/>
    <n v="53125"/>
    <d v="2018-11-01T00:00:00"/>
    <s v="Brokerage"/>
    <s v="Inception"/>
    <m/>
    <d v="2020-01-22T00:00:00"/>
  </r>
  <r>
    <s v="LAP"/>
    <x v="486"/>
    <x v="0"/>
    <d v="2018-11-01T00:00:00"/>
    <d v="2019-10-31T00:00:00"/>
    <s v="Miscellaneous"/>
    <n v="3"/>
    <s v="Animesh Rawat"/>
    <s v="Ahmedabad"/>
    <x v="6"/>
    <x v="0"/>
    <n v="359.13"/>
    <d v="2018-11-01T00:00:00"/>
    <s v="Brokerage"/>
    <s v="Inception"/>
    <m/>
    <d v="2020-01-22T00:00:00"/>
  </r>
  <r>
    <s v="LAP"/>
    <x v="487"/>
    <x v="0"/>
    <d v="2018-11-01T00:00:00"/>
    <d v="2019-10-31T00:00:00"/>
    <s v="Miscellaneous"/>
    <n v="3"/>
    <s v="Animesh Rawat"/>
    <s v="Ahmedabad"/>
    <x v="6"/>
    <x v="0"/>
    <n v="0"/>
    <d v="2018-11-01T00:00:00"/>
    <s v="Brokerage"/>
    <s v="Inception"/>
    <m/>
    <d v="2020-01-22T00:00:00"/>
  </r>
  <r>
    <s v="LAP"/>
    <x v="488"/>
    <x v="0"/>
    <d v="2018-11-01T00:00:00"/>
    <d v="2019-10-31T00:00:00"/>
    <s v="Liability"/>
    <n v="3"/>
    <s v="Animesh Rawat"/>
    <s v="Ahmedabad"/>
    <x v="6"/>
    <x v="0"/>
    <n v="0"/>
    <d v="2018-11-01T00:00:00"/>
    <s v="Brokerage"/>
    <s v="Inception"/>
    <m/>
    <d v="2020-01-22T00:00:00"/>
  </r>
  <r>
    <s v="LAP"/>
    <x v="489"/>
    <x v="0"/>
    <d v="2018-11-01T00:00:00"/>
    <d v="2019-10-31T00:00:00"/>
    <s v="Fire"/>
    <n v="3"/>
    <s v="Animesh Rawat"/>
    <s v="Ahmedabad"/>
    <x v="6"/>
    <x v="0"/>
    <n v="0"/>
    <d v="2018-11-01T00:00:00"/>
    <s v="Brokerage"/>
    <s v="Inception"/>
    <m/>
    <d v="2020-01-22T00:00:00"/>
  </r>
  <r>
    <s v="LAP"/>
    <x v="490"/>
    <x v="0"/>
    <d v="2019-01-01T00:00:00"/>
    <d v="2019-12-31T00:00:00"/>
    <s v="Employee Benefits"/>
    <n v="10"/>
    <s v="Mark"/>
    <s v="Ahmedabad"/>
    <x v="3"/>
    <x v="0"/>
    <n v="23387.4"/>
    <d v="2019-01-01T00:00:00"/>
    <s v="Brokerage"/>
    <s v="Inception"/>
    <m/>
    <d v="2020-01-22T00:00:00"/>
  </r>
  <r>
    <s v="LAP"/>
    <x v="491"/>
    <x v="0"/>
    <d v="2019-01-01T00:00:00"/>
    <d v="2019-12-31T00:00:00"/>
    <s v="Employee Benefits"/>
    <n v="10"/>
    <s v="Mark"/>
    <s v="Ahmedabad"/>
    <x v="3"/>
    <x v="0"/>
    <n v="914998.58"/>
    <d v="2019-01-01T00:00:00"/>
    <s v="Brokerage"/>
    <s v="Endorsement"/>
    <m/>
    <d v="2020-01-22T00:00:00"/>
  </r>
  <r>
    <s v="LAP"/>
    <x v="491"/>
    <x v="0"/>
    <d v="2019-01-01T00:00:00"/>
    <d v="2019-12-31T00:00:00"/>
    <s v="Employee Benefits"/>
    <n v="10"/>
    <s v="Mark"/>
    <s v="Ahmedabad"/>
    <x v="3"/>
    <x v="0"/>
    <n v="93906.08"/>
    <d v="2019-03-07T00:00:00"/>
    <s v="Brokerage "/>
    <s v="Endorsement"/>
    <m/>
    <d v="2020-01-22T00:00:00"/>
  </r>
  <r>
    <s v="LAP"/>
    <x v="491"/>
    <x v="0"/>
    <d v="2019-01-01T00:00:00"/>
    <d v="2019-12-31T00:00:00"/>
    <s v="Employee Benefits"/>
    <n v="10"/>
    <s v="Mark"/>
    <s v="Ahmedabad"/>
    <x v="3"/>
    <x v="0"/>
    <n v="27435"/>
    <d v="2019-01-23T00:00:00"/>
    <s v="Brokerage "/>
    <s v="Endorsement"/>
    <m/>
    <d v="2020-01-22T00:00:00"/>
  </r>
  <r>
    <s v="LAP"/>
    <x v="491"/>
    <x v="0"/>
    <d v="2019-01-01T00:00:00"/>
    <d v="2019-12-31T00:00:00"/>
    <s v="Employee Benefits"/>
    <n v="10"/>
    <s v="Mark"/>
    <s v="Ahmedabad"/>
    <x v="3"/>
    <x v="0"/>
    <n v="32391.85"/>
    <d v="2019-05-10T00:00:00"/>
    <s v="Brokerage "/>
    <s v="Endorsement"/>
    <m/>
    <d v="2020-01-22T00:00:00"/>
  </r>
  <r>
    <s v="LAP"/>
    <x v="491"/>
    <x v="0"/>
    <d v="2019-01-01T00:00:00"/>
    <d v="2019-12-31T00:00:00"/>
    <s v="Employee Benefits"/>
    <n v="10"/>
    <s v="Mark"/>
    <s v="Ahmedabad"/>
    <x v="3"/>
    <x v="0"/>
    <n v="9941.16"/>
    <d v="2019-07-10T00:00:00"/>
    <s v="Brokerage "/>
    <s v="Endorsement"/>
    <m/>
    <d v="2020-01-22T00:00:00"/>
  </r>
  <r>
    <s v="LAP"/>
    <x v="491"/>
    <x v="0"/>
    <d v="2019-01-01T00:00:00"/>
    <d v="2019-12-31T00:00:00"/>
    <s v="Employee Benefits"/>
    <n v="10"/>
    <s v="Mark"/>
    <s v="Ahmedabad"/>
    <x v="3"/>
    <x v="0"/>
    <n v="27681.48"/>
    <d v="2019-08-14T00:00:00"/>
    <s v="Brokerage "/>
    <s v="Endorsement"/>
    <m/>
    <d v="2020-01-22T00:00:00"/>
  </r>
  <r>
    <s v="LAP"/>
    <x v="491"/>
    <x v="0"/>
    <d v="2019-01-01T00:00:00"/>
    <d v="2019-12-31T00:00:00"/>
    <s v="Employee Benefits"/>
    <n v="10"/>
    <s v="Mark"/>
    <s v="Ahmedabad"/>
    <x v="3"/>
    <x v="0"/>
    <n v="18901.02"/>
    <d v="2019-09-14T00:00:00"/>
    <s v="Brokerage "/>
    <s v="Endorsement"/>
    <m/>
    <d v="2020-01-22T00:00:00"/>
  </r>
  <r>
    <s v="LAP"/>
    <x v="491"/>
    <x v="0"/>
    <d v="2019-01-01T00:00:00"/>
    <d v="2019-12-31T00:00:00"/>
    <s v="Employee Benefits"/>
    <n v="10"/>
    <s v="Mark"/>
    <s v="Ahmedabad"/>
    <x v="3"/>
    <x v="0"/>
    <n v="46994.85"/>
    <d v="2019-01-29T00:00:00"/>
    <s v="Brokerage "/>
    <s v="Endorsement"/>
    <m/>
    <d v="2020-01-22T00:00:00"/>
  </r>
  <r>
    <s v="LAP"/>
    <x v="491"/>
    <x v="0"/>
    <d v="2019-01-01T00:00:00"/>
    <d v="2019-12-31T00:00:00"/>
    <s v="Employee Benefits"/>
    <n v="10"/>
    <s v="Mark"/>
    <s v="Ahmedabad"/>
    <x v="3"/>
    <x v="0"/>
    <n v="17139.5"/>
    <d v="2019-10-11T00:00:00"/>
    <s v="Brokerage "/>
    <s v="Endorsement"/>
    <m/>
    <d v="2020-01-22T00:00:00"/>
  </r>
  <r>
    <s v="LAP"/>
    <x v="491"/>
    <x v="0"/>
    <d v="2019-01-01T00:00:00"/>
    <d v="2019-12-31T00:00:00"/>
    <s v="Employee Benefits"/>
    <n v="10"/>
    <s v="Mark"/>
    <s v="Ahmedabad"/>
    <x v="3"/>
    <x v="0"/>
    <n v="8560.86"/>
    <d v="2019-11-14T00:00:00"/>
    <s v="Brokerage "/>
    <s v="Endorsement"/>
    <m/>
    <d v="2020-01-22T00:00:00"/>
  </r>
  <r>
    <s v="LAP"/>
    <x v="491"/>
    <x v="0"/>
    <d v="2019-01-01T00:00:00"/>
    <d v="2019-12-31T00:00:00"/>
    <s v="Employee Benefits"/>
    <n v="10"/>
    <s v="Mark"/>
    <s v="Ahmedabad"/>
    <x v="3"/>
    <x v="0"/>
    <n v="1288.6600000000001"/>
    <d v="2019-12-03T00:00:00"/>
    <s v="Brokerage "/>
    <s v="Endorsement"/>
    <m/>
    <d v="2020-01-22T00:00:00"/>
  </r>
  <r>
    <s v="LAP"/>
    <x v="491"/>
    <x v="0"/>
    <d v="2019-01-01T00:00:00"/>
    <d v="2019-12-31T00:00:00"/>
    <s v="Employee Benefits"/>
    <n v="10"/>
    <s v="Mark"/>
    <s v="Ahmedabad"/>
    <x v="3"/>
    <x v="0"/>
    <n v="1208.3800000000001"/>
    <d v="2019-12-19T00:00:00"/>
    <s v="Brokerage "/>
    <s v="Endorsement"/>
    <m/>
    <d v="2020-01-22T00:00:00"/>
  </r>
  <r>
    <s v="LAP"/>
    <x v="491"/>
    <x v="0"/>
    <d v="2019-01-01T00:00:00"/>
    <d v="2019-12-31T00:00:00"/>
    <s v="Employee Benefits"/>
    <n v="10"/>
    <s v="Mark"/>
    <s v="Ahmedabad"/>
    <x v="3"/>
    <x v="0"/>
    <n v="18696.68"/>
    <d v="2019-03-11T00:00:00"/>
    <s v="Brokerage "/>
    <s v="Endorsement"/>
    <m/>
    <d v="2020-01-22T00:00:00"/>
  </r>
  <r>
    <s v="LAP"/>
    <x v="492"/>
    <x v="0"/>
    <d v="2019-01-01T00:00:00"/>
    <d v="2019-12-31T00:00:00"/>
    <s v="Employee Benefits"/>
    <n v="10"/>
    <s v="Mark"/>
    <s v="Ahmedabad"/>
    <x v="3"/>
    <x v="0"/>
    <n v="49788.75"/>
    <d v="2019-01-01T00:00:00"/>
    <s v="Brokerage"/>
    <s v="Endorsement"/>
    <m/>
    <d v="2020-01-22T00:00:00"/>
  </r>
  <r>
    <s v="LAP"/>
    <x v="492"/>
    <x v="0"/>
    <d v="2019-01-01T00:00:00"/>
    <d v="2019-12-31T00:00:00"/>
    <s v="Employee Benefits"/>
    <n v="10"/>
    <s v="Mark"/>
    <s v="Ahmedabad"/>
    <x v="3"/>
    <x v="0"/>
    <n v="49026.75"/>
    <d v="2019-01-29T00:00:00"/>
    <s v="Brokerage "/>
    <s v="Endorsement"/>
    <m/>
    <d v="2020-01-22T00:00:00"/>
  </r>
  <r>
    <s v="LAP"/>
    <x v="492"/>
    <x v="0"/>
    <d v="2019-01-01T00:00:00"/>
    <d v="2019-12-31T00:00:00"/>
    <s v="Employee Benefits"/>
    <n v="10"/>
    <s v="Mark"/>
    <s v="Ahmedabad"/>
    <x v="3"/>
    <x v="0"/>
    <n v="1613.78"/>
    <d v="2019-03-11T00:00:00"/>
    <s v="Brokerage "/>
    <s v="Endorsement"/>
    <m/>
    <d v="2020-01-22T00:00:00"/>
  </r>
  <r>
    <s v="LAP"/>
    <x v="492"/>
    <x v="0"/>
    <d v="2019-01-01T00:00:00"/>
    <d v="2019-12-31T00:00:00"/>
    <s v="Employee Benefits"/>
    <n v="10"/>
    <s v="Mark"/>
    <s v="Ahmedabad"/>
    <x v="3"/>
    <x v="0"/>
    <n v="49026.66"/>
    <d v="2019-02-04T00:00:00"/>
    <s v="Brokerage "/>
    <s v="Endorsement"/>
    <m/>
    <d v="2020-01-22T00:00:00"/>
  </r>
  <r>
    <s v="LAP"/>
    <x v="493"/>
    <x v="0"/>
    <d v="2018-06-08T00:00:00"/>
    <d v="2019-06-07T00:00:00"/>
    <s v="Miscellaneous"/>
    <n v="3"/>
    <s v="Animesh Rawat"/>
    <s v="Ahmedabad"/>
    <x v="3"/>
    <x v="0"/>
    <n v="8117.5"/>
    <d v="2018-06-08T00:00:00"/>
    <s v="Brokerage"/>
    <s v="Inception"/>
    <m/>
    <d v="2020-01-22T00:00:00"/>
  </r>
  <r>
    <s v="LAP"/>
    <x v="494"/>
    <x v="0"/>
    <d v="2018-06-03T00:00:00"/>
    <d v="2019-06-02T00:00:00"/>
    <s v="Marine"/>
    <n v="3"/>
    <s v="Animesh Rawat"/>
    <s v="Ahmedabad"/>
    <x v="6"/>
    <x v="0"/>
    <n v="21614.86"/>
    <d v="2018-06-03T00:00:00"/>
    <s v="Brokerage"/>
    <s v="Inception"/>
    <m/>
    <d v="2020-01-22T00:00:00"/>
  </r>
  <r>
    <s v="LAP"/>
    <x v="495"/>
    <x v="0"/>
    <d v="2018-06-03T00:00:00"/>
    <d v="2019-06-02T00:00:00"/>
    <s v="Engineering"/>
    <n v="3"/>
    <s v="Animesh Rawat"/>
    <s v="Ahmedabad"/>
    <x v="6"/>
    <x v="0"/>
    <n v="60990.71"/>
    <d v="2018-06-03T00:00:00"/>
    <s v="Brokerage"/>
    <s v="Inception"/>
    <m/>
    <d v="2020-01-22T00:00:00"/>
  </r>
  <r>
    <s v="LAP"/>
    <x v="496"/>
    <x v="0"/>
    <d v="2018-04-01T00:00:00"/>
    <d v="2019-03-31T00:00:00"/>
    <s v="Miscellaneous"/>
    <n v="3"/>
    <s v="Animesh Rawat"/>
    <s v="Ahmedabad"/>
    <x v="6"/>
    <x v="0"/>
    <n v="423.9"/>
    <d v="2018-04-01T00:00:00"/>
    <s v="Brokerage"/>
    <s v="Inception"/>
    <m/>
    <d v="2020-01-22T00:00:00"/>
  </r>
  <r>
    <s v="LAP"/>
    <x v="496"/>
    <x v="0"/>
    <d v="2018-04-01T00:00:00"/>
    <d v="2019-03-31T00:00:00"/>
    <s v="Miscellaneous"/>
    <n v="3"/>
    <s v="Animesh Rawat"/>
    <s v="Ahmedabad"/>
    <x v="6"/>
    <x v="0"/>
    <n v="105.98"/>
    <d v="2018-04-01T00:00:00"/>
    <s v="Brokerage"/>
    <s v="Inception"/>
    <m/>
    <d v="2020-01-22T00:00:00"/>
  </r>
  <r>
    <s v="LAP"/>
    <x v="497"/>
    <x v="0"/>
    <d v="2018-04-01T00:00:00"/>
    <d v="2019-03-31T00:00:00"/>
    <s v="Miscellaneous"/>
    <n v="3"/>
    <s v="Animesh Rawat"/>
    <s v="Ahmedabad"/>
    <x v="6"/>
    <x v="0"/>
    <n v="1897.66"/>
    <d v="2018-04-01T00:00:00"/>
    <s v="Brokerage"/>
    <s v="Inception"/>
    <m/>
    <d v="2020-01-22T00:00:00"/>
  </r>
  <r>
    <s v="LAP"/>
    <x v="497"/>
    <x v="0"/>
    <d v="2018-04-01T00:00:00"/>
    <d v="2019-03-31T00:00:00"/>
    <s v="Miscellaneous"/>
    <n v="3"/>
    <s v="Animesh Rawat"/>
    <s v="Ahmedabad"/>
    <x v="6"/>
    <x v="0"/>
    <n v="474.42"/>
    <d v="2018-04-01T00:00:00"/>
    <s v="Brokerage"/>
    <s v="Inception"/>
    <m/>
    <d v="2020-01-22T00:00:00"/>
  </r>
  <r>
    <s v="LAP"/>
    <x v="498"/>
    <x v="0"/>
    <d v="2018-04-01T00:00:00"/>
    <d v="2019-03-31T00:00:00"/>
    <s v="Marine"/>
    <n v="3"/>
    <s v="Animesh Rawat"/>
    <s v="Ahmedabad"/>
    <x v="0"/>
    <x v="0"/>
    <n v="44063.25"/>
    <d v="2018-04-01T00:00:00"/>
    <s v="Brokerage"/>
    <s v="Inception"/>
    <m/>
    <d v="2020-01-22T00:00:00"/>
  </r>
  <r>
    <s v="LAP"/>
    <x v="499"/>
    <x v="0"/>
    <d v="2018-10-15T00:00:00"/>
    <d v="2019-10-14T00:00:00"/>
    <s v="Fire"/>
    <n v="12"/>
    <s v="Shivani Sharma"/>
    <s v="Ahmedabad"/>
    <x v="6"/>
    <x v="2"/>
    <n v="16387.5"/>
    <d v="2018-10-15T00:00:00"/>
    <s v="Brokerage"/>
    <s v="Inception"/>
    <m/>
    <d v="2020-01-22T00:00:00"/>
  </r>
  <r>
    <s v="LAP"/>
    <x v="500"/>
    <x v="0"/>
    <d v="2018-04-01T00:00:00"/>
    <d v="2019-03-31T00:00:00"/>
    <s v="Fire"/>
    <n v="3"/>
    <s v="Animesh Rawat"/>
    <s v="Ahmedabad"/>
    <x v="6"/>
    <x v="0"/>
    <n v="15899.07"/>
    <d v="2018-04-01T00:00:00"/>
    <s v="Brokerage"/>
    <s v="Inception"/>
    <m/>
    <d v="2020-01-22T00:00:00"/>
  </r>
  <r>
    <s v="LAP"/>
    <x v="500"/>
    <x v="0"/>
    <d v="2018-04-01T00:00:00"/>
    <d v="2019-03-31T00:00:00"/>
    <s v="Fire"/>
    <n v="3"/>
    <s v="Animesh Rawat"/>
    <s v="Ahmedabad"/>
    <x v="6"/>
    <x v="0"/>
    <n v="3974.77"/>
    <d v="2018-04-01T00:00:00"/>
    <s v="Brokerage"/>
    <s v="Inception"/>
    <m/>
    <d v="2020-01-22T00:00:00"/>
  </r>
  <r>
    <s v="LAP"/>
    <x v="501"/>
    <x v="0"/>
    <d v="2018-04-01T00:00:00"/>
    <d v="2019-03-31T00:00:00"/>
    <s v="Fire"/>
    <n v="3"/>
    <s v="Animesh Rawat"/>
    <s v="Ahmedabad"/>
    <x v="6"/>
    <x v="0"/>
    <n v="6120.48"/>
    <d v="2018-04-01T00:00:00"/>
    <s v="Brokerage"/>
    <s v="Inception"/>
    <m/>
    <d v="2020-01-22T00:00:00"/>
  </r>
  <r>
    <s v="LAP"/>
    <x v="501"/>
    <x v="0"/>
    <d v="2018-04-01T00:00:00"/>
    <d v="2019-03-31T00:00:00"/>
    <s v="Fire"/>
    <n v="3"/>
    <s v="Animesh Rawat"/>
    <s v="Ahmedabad"/>
    <x v="6"/>
    <x v="0"/>
    <n v="1530.12"/>
    <d v="2018-04-01T00:00:00"/>
    <s v="Brokerage"/>
    <s v="Inception"/>
    <m/>
    <d v="2020-01-22T00:00:00"/>
  </r>
  <r>
    <s v="LAP"/>
    <x v="502"/>
    <x v="0"/>
    <d v="2018-04-01T00:00:00"/>
    <d v="2019-03-31T00:00:00"/>
    <s v="Fire"/>
    <n v="3"/>
    <s v="Animesh Rawat"/>
    <s v="Ahmedabad"/>
    <x v="6"/>
    <x v="0"/>
    <n v="32171.200000000001"/>
    <d v="2018-04-01T00:00:00"/>
    <s v="Brokerage"/>
    <s v="Inception"/>
    <m/>
    <d v="2020-01-22T00:00:00"/>
  </r>
  <r>
    <s v="LAP"/>
    <x v="502"/>
    <x v="0"/>
    <d v="2018-04-01T00:00:00"/>
    <d v="2019-03-31T00:00:00"/>
    <s v="Fire"/>
    <n v="3"/>
    <s v="Animesh Rawat"/>
    <s v="Ahmedabad"/>
    <x v="6"/>
    <x v="0"/>
    <n v="8042.8"/>
    <d v="2018-04-01T00:00:00"/>
    <s v="Brokerage"/>
    <s v="Inception"/>
    <m/>
    <d v="2020-01-22T00:00:00"/>
  </r>
  <r>
    <s v="LAP"/>
    <x v="503"/>
    <x v="0"/>
    <d v="2018-04-01T00:00:00"/>
    <d v="2019-03-31T00:00:00"/>
    <s v="Miscellaneous"/>
    <n v="3"/>
    <s v="Animesh Rawat"/>
    <s v="Ahmedabad"/>
    <x v="6"/>
    <x v="0"/>
    <n v="2925"/>
    <d v="2018-04-01T00:00:00"/>
    <s v="Brokerage"/>
    <s v="Inception"/>
    <m/>
    <d v="2020-01-22T00:00:00"/>
  </r>
  <r>
    <s v="LAP"/>
    <x v="503"/>
    <x v="0"/>
    <d v="2018-04-01T00:00:00"/>
    <d v="2019-03-31T00:00:00"/>
    <s v="Miscellaneous"/>
    <n v="3"/>
    <s v="Animesh Rawat"/>
    <s v="Ahmedabad"/>
    <x v="6"/>
    <x v="0"/>
    <n v="731.25"/>
    <d v="2018-04-01T00:00:00"/>
    <s v="Brokerage"/>
    <s v="Inception"/>
    <m/>
    <d v="2020-01-22T00:00:00"/>
  </r>
  <r>
    <s v="LAP"/>
    <x v="504"/>
    <x v="0"/>
    <d v="2018-04-01T00:00:00"/>
    <d v="2019-03-31T00:00:00"/>
    <s v="Miscellaneous"/>
    <n v="3"/>
    <s v="Animesh Rawat"/>
    <s v="Ahmedabad"/>
    <x v="6"/>
    <x v="0"/>
    <n v="627"/>
    <d v="2018-04-01T00:00:00"/>
    <s v="Brokerage"/>
    <s v="Inception"/>
    <m/>
    <d v="2020-01-22T00:00:00"/>
  </r>
  <r>
    <s v="LAP"/>
    <x v="504"/>
    <x v="0"/>
    <d v="2018-04-01T00:00:00"/>
    <d v="2019-03-31T00:00:00"/>
    <s v="Miscellaneous"/>
    <n v="3"/>
    <s v="Animesh Rawat"/>
    <s v="Ahmedabad"/>
    <x v="6"/>
    <x v="0"/>
    <n v="156.75"/>
    <d v="2018-04-01T00:00:00"/>
    <s v="Brokerage"/>
    <s v="Inception"/>
    <m/>
    <d v="2020-01-22T00:00:00"/>
  </r>
  <r>
    <s v="LAP"/>
    <x v="505"/>
    <x v="0"/>
    <d v="2018-04-01T00:00:00"/>
    <d v="2019-03-31T00:00:00"/>
    <s v="Miscellaneous"/>
    <n v="3"/>
    <s v="Animesh Rawat"/>
    <s v="Ahmedabad"/>
    <x v="6"/>
    <x v="0"/>
    <n v="1186"/>
    <d v="2018-04-01T00:00:00"/>
    <s v="Brokerage"/>
    <s v="Inception"/>
    <m/>
    <d v="2020-01-22T00:00:00"/>
  </r>
  <r>
    <s v="LAP"/>
    <x v="506"/>
    <x v="0"/>
    <d v="2018-04-01T00:00:00"/>
    <d v="2019-01-03T00:00:00"/>
    <s v="Miscellaneous"/>
    <n v="3"/>
    <s v="Animesh Rawat"/>
    <s v="Ahmedabad"/>
    <x v="6"/>
    <x v="0"/>
    <n v="465.9"/>
    <d v="2018-04-01T00:00:00"/>
    <s v="Brokerage"/>
    <s v="Inception"/>
    <m/>
    <d v="2020-01-22T00:00:00"/>
  </r>
  <r>
    <s v="LAP"/>
    <x v="506"/>
    <x v="0"/>
    <d v="2018-04-01T00:00:00"/>
    <d v="2019-01-03T00:00:00"/>
    <s v="Miscellaneous"/>
    <n v="3"/>
    <s v="Animesh Rawat"/>
    <s v="Ahmedabad"/>
    <x v="6"/>
    <x v="0"/>
    <n v="116.48"/>
    <d v="2018-04-01T00:00:00"/>
    <s v="Brokerage"/>
    <s v="Inception"/>
    <m/>
    <d v="2020-01-22T00:00:00"/>
  </r>
  <r>
    <s v="LAP"/>
    <x v="507"/>
    <x v="0"/>
    <d v="2018-04-01T00:00:00"/>
    <d v="2019-03-31T00:00:00"/>
    <s v="Miscellaneous"/>
    <n v="3"/>
    <s v="Animesh Rawat"/>
    <s v="Ahmedabad"/>
    <x v="6"/>
    <x v="0"/>
    <n v="3456.13"/>
    <d v="2018-04-01T00:00:00"/>
    <s v="Brokerage"/>
    <s v="Inception"/>
    <m/>
    <d v="2020-01-22T00:00:00"/>
  </r>
  <r>
    <s v="LAP"/>
    <x v="508"/>
    <x v="1"/>
    <d v="2018-04-01T00:00:00"/>
    <d v="2019-03-31T00:00:00"/>
    <s v="Employee Benefits"/>
    <n v="10"/>
    <s v="Mark"/>
    <s v="Ahmedabad"/>
    <x v="3"/>
    <x v="0"/>
    <n v="0"/>
    <d v="2018-04-01T00:00:00"/>
    <s v="Brokerage"/>
    <s v="Inception"/>
    <m/>
    <d v="2020-01-22T00:00:00"/>
  </r>
  <r>
    <s v="LAP"/>
    <x v="509"/>
    <x v="0"/>
    <d v="2018-05-09T00:00:00"/>
    <d v="2019-05-08T00:00:00"/>
    <s v="Fire"/>
    <n v="3"/>
    <s v="Animesh Rawat"/>
    <s v="Ahmedabad"/>
    <x v="6"/>
    <x v="0"/>
    <n v="976.81"/>
    <d v="2018-05-09T00:00:00"/>
    <s v="Brokerage"/>
    <s v="Inception"/>
    <m/>
    <d v="2020-01-22T00:00:00"/>
  </r>
  <r>
    <s v="LAP"/>
    <x v="510"/>
    <x v="1"/>
    <d v="2018-07-14T00:00:00"/>
    <d v="2019-07-13T00:00:00"/>
    <s v="Employee Benefits"/>
    <n v="10"/>
    <s v="Mark"/>
    <s v="Ahmedabad"/>
    <x v="3"/>
    <x v="0"/>
    <n v="26250"/>
    <d v="2018-07-14T00:00:00"/>
    <s v="Brokerage"/>
    <s v="Inception"/>
    <m/>
    <d v="2020-01-22T00:00:00"/>
  </r>
  <r>
    <s v="LAP"/>
    <x v="511"/>
    <x v="0"/>
    <d v="2019-07-14T00:00:00"/>
    <d v="2020-07-13T00:00:00"/>
    <s v="Employee Benefits"/>
    <n v="10"/>
    <s v="Mark"/>
    <s v="Ahmedabad"/>
    <x v="3"/>
    <x v="0"/>
    <n v="22245.75"/>
    <d v="2019-07-14T00:00:00"/>
    <s v="Brokerage"/>
    <s v="Renewal"/>
    <m/>
    <d v="2020-01-22T00:00:00"/>
  </r>
  <r>
    <s v="LAP"/>
    <x v="512"/>
    <x v="0"/>
    <d v="2019-04-01T00:00:00"/>
    <d v="2020-03-31T00:00:00"/>
    <s v="Employee Benefits"/>
    <n v="10"/>
    <s v="Mark"/>
    <s v="Ahmedabad"/>
    <x v="3"/>
    <x v="0"/>
    <n v="3346.95"/>
    <d v="2019-04-01T00:00:00"/>
    <s v="Brokerage"/>
    <s v="Renewal"/>
    <m/>
    <d v="2020-01-22T00:00:00"/>
  </r>
  <r>
    <s v="LAP"/>
    <x v="513"/>
    <x v="1"/>
    <d v="2018-07-23T00:00:00"/>
    <d v="2019-07-20T00:00:00"/>
    <s v="Liability"/>
    <n v="3"/>
    <s v="Animesh Rawat"/>
    <s v="Ahmedabad"/>
    <x v="6"/>
    <x v="0"/>
    <n v="0"/>
    <d v="2018-07-23T00:00:00"/>
    <s v="Brokerage"/>
    <s v="Inception"/>
    <m/>
    <d v="2020-01-22T00:00:00"/>
  </r>
  <r>
    <s v="LAP"/>
    <x v="514"/>
    <x v="0"/>
    <d v="2019-07-23T00:00:00"/>
    <d v="2020-07-20T00:00:00"/>
    <s v="Liability"/>
    <n v="3"/>
    <s v="Animesh Rawat"/>
    <s v="Ahmedabad"/>
    <x v="6"/>
    <x v="0"/>
    <n v="0"/>
    <d v="2019-07-23T00:00:00"/>
    <s v="Brokerage"/>
    <s v="Renewal"/>
    <m/>
    <d v="2020-01-22T00:00:00"/>
  </r>
  <r>
    <s v="LAP"/>
    <x v="515"/>
    <x v="0"/>
    <d v="2019-01-01T00:00:00"/>
    <d v="2019-12-31T00:00:00"/>
    <s v="Liability"/>
    <n v="3"/>
    <s v="Animesh Rawat"/>
    <s v="Ahmedabad"/>
    <x v="6"/>
    <x v="0"/>
    <n v="19910.88"/>
    <d v="2019-01-01T00:00:00"/>
    <s v="Brokerage"/>
    <s v="Endorsement"/>
    <m/>
    <d v="2020-01-22T00:00:00"/>
  </r>
  <r>
    <s v="LAP"/>
    <x v="515"/>
    <x v="0"/>
    <d v="2019-01-01T00:00:00"/>
    <d v="2019-12-31T00:00:00"/>
    <s v="Liability"/>
    <n v="3"/>
    <s v="Animesh Rawat"/>
    <s v="Ahmedabad"/>
    <x v="6"/>
    <x v="0"/>
    <n v="2139.63"/>
    <d v="2019-01-30T00:00:00"/>
    <s v="Brokerage "/>
    <s v="Endorsement"/>
    <m/>
    <d v="2020-01-22T00:00:00"/>
  </r>
  <r>
    <s v="LAP"/>
    <x v="516"/>
    <x v="1"/>
    <d v="2018-01-01T00:00:00"/>
    <d v="2018-12-31T00:00:00"/>
    <s v="Liability"/>
    <n v="3"/>
    <s v="Animesh Rawat"/>
    <s v="Ahmedabad"/>
    <x v="6"/>
    <x v="0"/>
    <n v="20814.38"/>
    <d v="2018-01-01T00:00:00"/>
    <s v="Brokerage"/>
    <s v="Inception"/>
    <m/>
    <d v="2020-01-22T00:00:00"/>
  </r>
  <r>
    <s v="LAP"/>
    <x v="517"/>
    <x v="0"/>
    <d v="2018-03-01T00:00:00"/>
    <d v="2019-02-28T00:00:00"/>
    <s v="Marine"/>
    <n v="3"/>
    <s v="Animesh Rawat"/>
    <s v="Ahmedabad"/>
    <x v="6"/>
    <x v="0"/>
    <n v="126225"/>
    <d v="2018-03-01T00:00:00"/>
    <s v="Brokerage"/>
    <s v="Inception"/>
    <m/>
    <d v="2020-01-22T00:00:00"/>
  </r>
  <r>
    <s v="LAP"/>
    <x v="518"/>
    <x v="1"/>
    <d v="2018-03-01T00:00:00"/>
    <d v="2019-02-28T00:00:00"/>
    <s v="Marine"/>
    <n v="3"/>
    <s v="Animesh Rawat"/>
    <s v="Ahmedabad"/>
    <x v="6"/>
    <x v="0"/>
    <n v="63112.5"/>
    <d v="2018-03-01T00:00:00"/>
    <s v="Brokerage"/>
    <s v="Inception"/>
    <m/>
    <d v="2020-01-22T00:00:00"/>
  </r>
  <r>
    <s v="LAP"/>
    <x v="519"/>
    <x v="0"/>
    <d v="2019-03-01T00:00:00"/>
    <d v="2020-02-29T00:00:00"/>
    <s v="Marine"/>
    <n v="3"/>
    <s v="Animesh Rawat"/>
    <s v="Ahmedabad"/>
    <x v="6"/>
    <x v="0"/>
    <n v="148500"/>
    <d v="2019-03-01T00:00:00"/>
    <s v="Brokerage"/>
    <s v="Renewal"/>
    <m/>
    <d v="2020-01-22T00:00:00"/>
  </r>
  <r>
    <s v="LAP"/>
    <x v="520"/>
    <x v="0"/>
    <d v="2018-06-30T00:00:00"/>
    <d v="2019-06-29T00:00:00"/>
    <s v="Fire"/>
    <n v="1"/>
    <s v="Vinay"/>
    <s v="Ahmedabad"/>
    <x v="4"/>
    <x v="0"/>
    <n v="39762.71"/>
    <d v="2018-06-30T00:00:00"/>
    <s v="Brokerage"/>
    <s v="Inception"/>
    <m/>
    <d v="2020-01-22T00:00:00"/>
  </r>
  <r>
    <s v="LAP"/>
    <x v="521"/>
    <x v="0"/>
    <d v="2018-12-14T00:00:00"/>
    <d v="2019-12-13T00:00:00"/>
    <s v="Marine"/>
    <n v="2"/>
    <s v="Abhinav Shivam"/>
    <s v="Ahmedabad"/>
    <x v="0"/>
    <x v="2"/>
    <n v="28050"/>
    <d v="2018-12-14T00:00:00"/>
    <s v="Brokerage"/>
    <s v="Endorsement"/>
    <m/>
    <d v="2020-01-22T00:00:00"/>
  </r>
  <r>
    <s v="LAP"/>
    <x v="521"/>
    <x v="0"/>
    <d v="2018-12-14T00:00:00"/>
    <d v="2019-12-13T00:00:00"/>
    <s v="Marine"/>
    <n v="2"/>
    <s v="Abhinav Shivam"/>
    <s v="Ahmedabad"/>
    <x v="0"/>
    <x v="2"/>
    <n v="56100"/>
    <d v="2019-03-08T00:00:00"/>
    <s v="Brokerage "/>
    <s v="Endorsement"/>
    <m/>
    <d v="2020-01-22T00:00:00"/>
  </r>
  <r>
    <s v="LAP"/>
    <x v="521"/>
    <x v="0"/>
    <d v="2018-12-14T00:00:00"/>
    <d v="2019-12-13T00:00:00"/>
    <s v="Marine"/>
    <n v="2"/>
    <s v="Abhinav Shivam"/>
    <s v="Ahmedabad"/>
    <x v="0"/>
    <x v="2"/>
    <n v="56100"/>
    <d v="2019-03-08T00:00:00"/>
    <s v="Brokerage "/>
    <s v="Endorsement"/>
    <m/>
    <d v="2020-01-22T00:00:00"/>
  </r>
  <r>
    <s v="LAP"/>
    <x v="521"/>
    <x v="0"/>
    <d v="2018-12-14T00:00:00"/>
    <d v="2019-12-13T00:00:00"/>
    <s v="Marine"/>
    <n v="2"/>
    <s v="Abhinav Shivam"/>
    <s v="Ahmedabad"/>
    <x v="0"/>
    <x v="2"/>
    <n v="14025"/>
    <d v="2019-10-22T00:00:00"/>
    <s v="Brokerage "/>
    <s v="Endorsement"/>
    <m/>
    <d v="2020-01-22T00:00:00"/>
  </r>
  <r>
    <s v="LAP"/>
    <x v="521"/>
    <x v="0"/>
    <d v="2018-12-14T00:00:00"/>
    <d v="2019-12-13T00:00:00"/>
    <s v="Marine"/>
    <n v="2"/>
    <s v="Abhinav Shivam"/>
    <s v="Ahmedabad"/>
    <x v="0"/>
    <x v="2"/>
    <n v="14025"/>
    <d v="2019-10-22T00:00:00"/>
    <s v="Brokerage "/>
    <s v="Endorsement"/>
    <m/>
    <d v="2020-01-22T00:00:00"/>
  </r>
  <r>
    <s v="LAP"/>
    <x v="522"/>
    <x v="1"/>
    <d v="2018-04-09T00:00:00"/>
    <d v="2019-04-08T00:00:00"/>
    <s v="Liability"/>
    <n v="11"/>
    <s v="Raju Kumar"/>
    <s v="Ahmedabad"/>
    <x v="2"/>
    <x v="0"/>
    <n v="59851.63"/>
    <d v="2018-04-09T00:00:00"/>
    <s v="Brokerage"/>
    <s v="Inception"/>
    <m/>
    <d v="2020-01-22T00:00:00"/>
  </r>
  <r>
    <s v="LAP"/>
    <x v="523"/>
    <x v="0"/>
    <d v="2019-04-09T00:00:00"/>
    <d v="2020-04-08T00:00:00"/>
    <s v="Liability"/>
    <n v="1"/>
    <s v="Vinay"/>
    <s v="Ahmedabad"/>
    <x v="2"/>
    <x v="0"/>
    <n v="74250"/>
    <d v="2019-04-09T00:00:00"/>
    <s v="Brokerage"/>
    <s v="Inception"/>
    <m/>
    <d v="2020-01-22T00:00:00"/>
  </r>
  <r>
    <s v="LAP"/>
    <x v="524"/>
    <x v="0"/>
    <d v="2019-04-09T00:00:00"/>
    <d v="2020-04-08T00:00:00"/>
    <s v="Liability"/>
    <n v="11"/>
    <s v="Raju Kumar"/>
    <s v="Ahmedabad"/>
    <x v="2"/>
    <x v="0"/>
    <n v="68125"/>
    <d v="2019-04-09T00:00:00"/>
    <s v="Brokerage"/>
    <s v="Renewal"/>
    <m/>
    <d v="2020-01-22T00:00:00"/>
  </r>
  <r>
    <s v="LAP"/>
    <x v="525"/>
    <x v="1"/>
    <d v="2018-04-01T00:00:00"/>
    <d v="2019-03-31T00:00:00"/>
    <s v="Liability"/>
    <n v="6"/>
    <s v="Ketan Jain"/>
    <s v="Ahmedabad"/>
    <x v="2"/>
    <x v="1"/>
    <n v="117812.5"/>
    <d v="2018-04-01T00:00:00"/>
    <s v="Brokerage"/>
    <s v="Inception"/>
    <m/>
    <d v="2020-01-22T00:00:00"/>
  </r>
  <r>
    <s v="LAP"/>
    <x v="526"/>
    <x v="0"/>
    <d v="2019-04-01T00:00:00"/>
    <d v="2020-03-31T00:00:00"/>
    <s v="Liability"/>
    <n v="6"/>
    <s v="Ketan Jain"/>
    <s v="Ahmedabad"/>
    <x v="2"/>
    <x v="0"/>
    <n v="115625"/>
    <d v="2019-04-01T00:00:00"/>
    <s v="Brokerage"/>
    <s v="Renewal"/>
    <m/>
    <d v="2020-01-22T00:00:00"/>
  </r>
  <r>
    <s v="LAP"/>
    <x v="527"/>
    <x v="0"/>
    <d v="2019-05-03T00:00:00"/>
    <d v="2020-05-02T00:00:00"/>
    <s v="Fire"/>
    <n v="1"/>
    <s v="Vinay"/>
    <s v="Ahmedabad"/>
    <x v="2"/>
    <x v="0"/>
    <n v="10427"/>
    <d v="2019-05-03T00:00:00"/>
    <s v="Brokerage"/>
    <s v="Inception"/>
    <m/>
    <d v="2020-01-22T00:00:00"/>
  </r>
  <r>
    <s v="LAP"/>
    <x v="528"/>
    <x v="1"/>
    <d v="2018-06-03T00:00:00"/>
    <d v="2019-06-02T00:00:00"/>
    <s v="Liability"/>
    <n v="13"/>
    <s v="Vididt Saha"/>
    <s v="Ahmedabad"/>
    <x v="2"/>
    <x v="0"/>
    <n v="2930.9"/>
    <d v="2018-06-03T00:00:00"/>
    <s v="Brokerage"/>
    <s v="Inception"/>
    <m/>
    <d v="2020-01-22T00:00:00"/>
  </r>
  <r>
    <s v="LAP"/>
    <x v="529"/>
    <x v="0"/>
    <d v="2019-07-03T00:00:00"/>
    <d v="2020-07-02T00:00:00"/>
    <s v="Liability"/>
    <n v="13"/>
    <s v="Vididt Saha"/>
    <s v="Ahmedabad"/>
    <x v="2"/>
    <x v="0"/>
    <n v="6213.24"/>
    <d v="2019-07-03T00:00:00"/>
    <s v="Brokerage"/>
    <s v="Renewal"/>
    <m/>
    <d v="2020-01-22T00:00:00"/>
  </r>
  <r>
    <s v="LAP"/>
    <x v="530"/>
    <x v="1"/>
    <d v="2018-09-22T00:00:00"/>
    <d v="2019-09-21T00:00:00"/>
    <s v="Miscellaneous"/>
    <n v="3"/>
    <s v="Animesh Rawat"/>
    <s v="Ahmedabad"/>
    <x v="6"/>
    <x v="0"/>
    <n v="1772.75"/>
    <d v="2019-09-22T00:00:00"/>
    <s v="Brokerage"/>
    <s v="Inception"/>
    <m/>
    <d v="2020-01-22T00:00:00"/>
  </r>
  <r>
    <s v="LAP"/>
    <x v="531"/>
    <x v="0"/>
    <d v="2019-09-22T00:00:00"/>
    <d v="2020-09-21T00:00:00"/>
    <s v="Miscellaneous"/>
    <n v="3"/>
    <s v="Animesh Rawat"/>
    <s v="Ahmedabad"/>
    <x v="6"/>
    <x v="0"/>
    <n v="2970"/>
    <d v="2019-09-22T00:00:00"/>
    <s v="Brokerage"/>
    <s v="Renewal"/>
    <m/>
    <d v="2020-01-22T00:00:00"/>
  </r>
  <r>
    <s v="LAP"/>
    <x v="532"/>
    <x v="1"/>
    <d v="2018-09-21T00:00:00"/>
    <d v="2019-09-20T00:00:00"/>
    <s v="Marine"/>
    <n v="3"/>
    <s v="Animesh Rawat"/>
    <s v="Ahmedabad"/>
    <x v="6"/>
    <x v="0"/>
    <n v="5610"/>
    <d v="2019-09-21T00:00:00"/>
    <s v="Brokerage"/>
    <s v="Endorsement"/>
    <m/>
    <d v="2020-01-22T00:00:00"/>
  </r>
  <r>
    <s v="LAP"/>
    <x v="532"/>
    <x v="1"/>
    <d v="2018-09-21T00:00:00"/>
    <d v="2019-09-20T00:00:00"/>
    <s v="Marine"/>
    <n v="3"/>
    <s v="Animesh Rawat"/>
    <s v="Ahmedabad"/>
    <x v="6"/>
    <x v="0"/>
    <n v="1980"/>
    <d v="2019-06-14T00:00:00"/>
    <s v="Brokerage "/>
    <s v="Endorsement"/>
    <m/>
    <d v="2020-01-22T00:00:00"/>
  </r>
  <r>
    <s v="LAP"/>
    <x v="533"/>
    <x v="1"/>
    <d v="2018-09-21T00:00:00"/>
    <d v="2019-09-20T00:00:00"/>
    <s v="Miscellaneous"/>
    <n v="3"/>
    <s v="Animesh Rawat"/>
    <s v="Ahmedabad"/>
    <x v="6"/>
    <x v="0"/>
    <n v="3861.25"/>
    <d v="2018-09-21T00:00:00"/>
    <s v="Brokerage"/>
    <s v="Inception"/>
    <m/>
    <d v="2020-01-22T00:00:00"/>
  </r>
  <r>
    <s v="LAP"/>
    <x v="534"/>
    <x v="1"/>
    <d v="2018-09-21T00:00:00"/>
    <d v="2019-09-20T00:00:00"/>
    <s v="Miscellaneous"/>
    <n v="3"/>
    <s v="Animesh Rawat"/>
    <s v="Ahmedabad"/>
    <x v="6"/>
    <x v="0"/>
    <n v="13036.5"/>
    <d v="2018-09-21T00:00:00"/>
    <s v="Brokerage"/>
    <s v="Inception"/>
    <m/>
    <d v="2020-01-22T00:00:00"/>
  </r>
  <r>
    <s v="LAP"/>
    <x v="535"/>
    <x v="1"/>
    <d v="2018-09-21T00:00:00"/>
    <d v="2019-09-20T00:00:00"/>
    <s v="Miscellaneous"/>
    <n v="3"/>
    <s v="Animesh Rawat"/>
    <s v="Ahmedabad"/>
    <x v="6"/>
    <x v="0"/>
    <n v="8194.25"/>
    <d v="2018-09-21T00:00:00"/>
    <s v="Brokerage"/>
    <s v="Inception"/>
    <m/>
    <d v="2020-01-22T00:00:00"/>
  </r>
  <r>
    <s v="LAP"/>
    <x v="536"/>
    <x v="0"/>
    <d v="2019-09-21T00:00:00"/>
    <d v="2020-09-20T00:00:00"/>
    <s v="Marine"/>
    <n v="3"/>
    <s v="Animesh Rawat"/>
    <s v="Ahmedabad"/>
    <x v="6"/>
    <x v="0"/>
    <n v="8580"/>
    <d v="2019-09-21T00:00:00"/>
    <s v="Brokerage"/>
    <s v="Renewal"/>
    <m/>
    <d v="2020-01-22T00:00:00"/>
  </r>
  <r>
    <s v="LAP"/>
    <x v="537"/>
    <x v="0"/>
    <d v="2019-09-21T00:00:00"/>
    <d v="2020-09-20T00:00:00"/>
    <s v="Miscellaneous"/>
    <n v="3"/>
    <s v="Animesh Rawat"/>
    <s v="Ahmedabad"/>
    <x v="6"/>
    <x v="0"/>
    <n v="4579"/>
    <d v="2019-09-21T00:00:00"/>
    <s v="Brokerage"/>
    <s v="Renewal"/>
    <m/>
    <d v="2020-01-22T00:00:00"/>
  </r>
  <r>
    <s v="LAP"/>
    <x v="538"/>
    <x v="0"/>
    <d v="2019-09-21T00:00:00"/>
    <d v="2020-09-20T00:00:00"/>
    <s v="Miscellaneous"/>
    <n v="3"/>
    <s v="Animesh Rawat"/>
    <s v="Ahmedabad"/>
    <x v="6"/>
    <x v="0"/>
    <n v="3330"/>
    <d v="2019-09-21T00:00:00"/>
    <s v="Brokerage"/>
    <s v="Renewal"/>
    <m/>
    <d v="2020-01-22T00:00:00"/>
  </r>
  <r>
    <s v="LAP"/>
    <x v="539"/>
    <x v="0"/>
    <d v="2019-09-21T00:00:00"/>
    <d v="2020-09-20T00:00:00"/>
    <s v="Miscellaneous"/>
    <n v="3"/>
    <s v="Animesh Rawat"/>
    <s v="Ahmedabad"/>
    <x v="6"/>
    <x v="0"/>
    <n v="8625.3799999999992"/>
    <d v="2019-09-21T00:00:00"/>
    <s v="Brokerage"/>
    <s v="Renewal"/>
    <m/>
    <d v="2020-01-22T00:00:00"/>
  </r>
  <r>
    <s v="LAP"/>
    <x v="540"/>
    <x v="0"/>
    <d v="2019-04-19T00:00:00"/>
    <d v="2020-04-18T00:00:00"/>
    <s v="Marine"/>
    <n v="1"/>
    <s v="Vinay"/>
    <s v="Ahmedabad"/>
    <x v="0"/>
    <x v="2"/>
    <n v="150.65"/>
    <d v="2019-04-19T00:00:00"/>
    <s v="Brokerage"/>
    <s v="Inception"/>
    <m/>
    <d v="2020-01-22T00:00:00"/>
  </r>
  <r>
    <s v="ZZ"/>
    <x v="541"/>
    <x v="0"/>
    <d v="2018-11-29T00:00:00"/>
    <d v="2019-11-28T00:00:00"/>
    <s v="Liability"/>
    <n v="6"/>
    <s v="Ketan Jain"/>
    <s v="Ahmedabad"/>
    <x v="2"/>
    <x v="1"/>
    <n v="115173.38"/>
    <d v="2018-11-29T00:00:00"/>
    <s v="Brokerage"/>
    <s v="Inception"/>
    <m/>
    <d v="2020-01-22T00:00:00"/>
  </r>
  <r>
    <s v="ZZ"/>
    <x v="542"/>
    <x v="0"/>
    <d v="2019-01-06T00:00:00"/>
    <d v="2020-01-05T00:00:00"/>
    <s v="Marine"/>
    <n v="11"/>
    <s v="Raju Kumar"/>
    <s v="Ahmedabad"/>
    <x v="0"/>
    <x v="2"/>
    <n v="825"/>
    <d v="2019-01-06T00:00:00"/>
    <s v="Brokerage"/>
    <s v="Inception"/>
    <m/>
    <d v="2020-01-22T00:00:00"/>
  </r>
  <r>
    <s v="ZZ"/>
    <x v="543"/>
    <x v="0"/>
    <d v="2018-06-13T00:00:00"/>
    <d v="2019-06-12T00:00:00"/>
    <s v="Marine"/>
    <n v="11"/>
    <s v="Raju Kumar"/>
    <s v="Ahmedabad"/>
    <x v="0"/>
    <x v="0"/>
    <n v="20625"/>
    <d v="2018-06-13T00:00:00"/>
    <s v="Brokerage"/>
    <s v="Inception"/>
    <m/>
    <d v="2020-01-22T00:00:00"/>
  </r>
  <r>
    <s v="ZZ"/>
    <x v="544"/>
    <x v="0"/>
    <d v="2019-04-08T00:00:00"/>
    <d v="2020-04-07T00:00:00"/>
    <s v="Marine"/>
    <n v="11"/>
    <s v="Raju Kumar"/>
    <s v="Ahmedabad"/>
    <x v="0"/>
    <x v="2"/>
    <n v="2598.75"/>
    <d v="2019-04-08T00:00:00"/>
    <s v="Brokerage"/>
    <s v="Inception"/>
    <m/>
    <d v="2020-01-22T00:00:00"/>
  </r>
  <r>
    <s v="ZZ"/>
    <x v="545"/>
    <x v="0"/>
    <d v="2019-04-08T00:00:00"/>
    <d v="2020-04-07T00:00:00"/>
    <s v="Marine"/>
    <n v="11"/>
    <s v="Raju Kumar"/>
    <s v="Ahmedabad"/>
    <x v="0"/>
    <x v="2"/>
    <n v="693"/>
    <d v="2019-04-08T00:00:00"/>
    <s v="Brokerage"/>
    <s v="Inception"/>
    <m/>
    <d v="2020-01-22T00:00:00"/>
  </r>
  <r>
    <s v="ZZ"/>
    <x v="546"/>
    <x v="0"/>
    <d v="2019-04-22T00:00:00"/>
    <d v="2020-04-21T00:00:00"/>
    <s v="Marine"/>
    <n v="11"/>
    <s v="Raju Kumar"/>
    <s v="Ahmedabad"/>
    <x v="0"/>
    <x v="2"/>
    <n v="357.06"/>
    <d v="2019-04-22T00:00:00"/>
    <s v="Brokerage"/>
    <s v="Inception"/>
    <m/>
    <d v="2020-01-22T00:00:00"/>
  </r>
  <r>
    <s v="ZZ"/>
    <x v="547"/>
    <x v="0"/>
    <d v="2019-03-07T00:00:00"/>
    <d v="2020-03-06T00:00:00"/>
    <s v="Miscellaneous"/>
    <n v="11"/>
    <s v="Raju Kumar"/>
    <s v="Ahmedabad"/>
    <x v="7"/>
    <x v="0"/>
    <n v="41625"/>
    <d v="2019-07-06T00:00:00"/>
    <s v="Brokerage"/>
    <s v="Inception"/>
    <m/>
    <d v="2020-01-22T00:00:00"/>
  </r>
  <r>
    <s v="ZZ"/>
    <x v="547"/>
    <x v="0"/>
    <d v="2019-03-07T00:00:00"/>
    <d v="2020-03-06T00:00:00"/>
    <s v="Miscellaneous"/>
    <n v="11"/>
    <s v="Raju Kumar"/>
    <s v="Ahmedabad"/>
    <x v="7"/>
    <x v="0"/>
    <n v="41625"/>
    <d v="2019-11-04T00:00:00"/>
    <s v="Brokerage"/>
    <s v="Inception"/>
    <m/>
    <d v="2020-01-22T00:00:00"/>
  </r>
  <r>
    <s v="ZZ"/>
    <x v="547"/>
    <x v="0"/>
    <d v="2019-03-07T00:00:00"/>
    <d v="2020-03-06T00:00:00"/>
    <s v="Miscellaneous"/>
    <n v="11"/>
    <s v="Raju Kumar"/>
    <s v="Ahmedabad"/>
    <x v="7"/>
    <x v="0"/>
    <n v="124875"/>
    <d v="2019-03-07T00:00:00"/>
    <s v="Brokerage"/>
    <s v="Inception"/>
    <m/>
    <d v="2020-01-22T00:00:00"/>
  </r>
  <r>
    <s v="ZZ"/>
    <x v="548"/>
    <x v="0"/>
    <d v="2019-08-28T00:00:00"/>
    <d v="2020-08-27T00:00:00"/>
    <s v="Liability"/>
    <n v="1"/>
    <s v="Vinay"/>
    <s v="Ahmedabad"/>
    <x v="2"/>
    <x v="0"/>
    <n v="42900"/>
    <d v="2018-08-28T00:00:00"/>
    <s v="Brokerage"/>
    <s v="Inception"/>
    <m/>
    <d v="2020-01-22T00:00:00"/>
  </r>
  <r>
    <s v="ZZ"/>
    <x v="549"/>
    <x v="0"/>
    <d v="2019-08-28T00:00:00"/>
    <d v="2020-08-27T00:00:00"/>
    <s v="Liability"/>
    <n v="1"/>
    <s v="Vinay"/>
    <s v="Ahmedabad"/>
    <x v="2"/>
    <x v="0"/>
    <n v="52800"/>
    <d v="2019-08-28T00:00:00"/>
    <s v="Brokerage"/>
    <s v="Inception"/>
    <m/>
    <d v="2020-01-22T00:00:00"/>
  </r>
  <r>
    <s v="ZZ"/>
    <x v="550"/>
    <x v="0"/>
    <d v="2019-08-28T00:00:00"/>
    <d v="2020-08-27T00:00:00"/>
    <s v="Liability"/>
    <n v="1"/>
    <s v="Vinay"/>
    <s v="Ahmedabad"/>
    <x v="2"/>
    <x v="0"/>
    <n v="44130.41"/>
    <d v="2019-08-28T00:00:00"/>
    <s v="Brokerage"/>
    <s v="Inception"/>
    <m/>
    <d v="2020-01-22T00:00:00"/>
  </r>
  <r>
    <s v="ZZ"/>
    <x v="551"/>
    <x v="0"/>
    <d v="2019-01-04T00:00:00"/>
    <d v="2020-01-03T00:00:00"/>
    <s v="Employee Benefits"/>
    <n v="10"/>
    <s v="Mark"/>
    <s v="Ahmedabad"/>
    <x v="3"/>
    <x v="0"/>
    <n v="156000"/>
    <d v="2019-01-04T00:00:00"/>
    <s v="Brokerage"/>
    <s v="Endorsement"/>
    <m/>
    <d v="2020-01-22T00:00:00"/>
  </r>
  <r>
    <s v="ZZ"/>
    <x v="551"/>
    <x v="0"/>
    <d v="2019-01-04T00:00:00"/>
    <d v="2020-01-03T00:00:00"/>
    <s v="Employee Benefits"/>
    <n v="10"/>
    <s v="Mark"/>
    <s v="Ahmedabad"/>
    <x v="3"/>
    <x v="0"/>
    <n v="5253.23"/>
    <d v="2019-02-18T00:00:00"/>
    <s v="Brokerage "/>
    <s v="Endorsement"/>
    <m/>
    <d v="2020-01-22T00:00:00"/>
  </r>
  <r>
    <s v="ZZ"/>
    <x v="551"/>
    <x v="0"/>
    <d v="2019-01-04T00:00:00"/>
    <d v="2020-01-03T00:00:00"/>
    <s v="Employee Benefits"/>
    <n v="10"/>
    <s v="Mark"/>
    <s v="Ahmedabad"/>
    <x v="3"/>
    <x v="0"/>
    <n v="6769.65"/>
    <d v="2019-06-15T00:00:00"/>
    <s v="Brokerage "/>
    <s v="Endorsement"/>
    <m/>
    <d v="2020-01-22T00:00:00"/>
  </r>
  <r>
    <s v="ZZ"/>
    <x v="551"/>
    <x v="0"/>
    <d v="2019-01-04T00:00:00"/>
    <d v="2020-01-03T00:00:00"/>
    <s v="Employee Benefits"/>
    <n v="10"/>
    <s v="Mark"/>
    <s v="Ahmedabad"/>
    <x v="3"/>
    <x v="0"/>
    <n v="8961.98"/>
    <d v="2019-06-25T00:00:00"/>
    <s v="Brokerage "/>
    <s v="Endorsement"/>
    <m/>
    <d v="2020-01-22T00:00:00"/>
  </r>
  <r>
    <s v="ZZ"/>
    <x v="552"/>
    <x v="1"/>
    <d v="2018-01-02T00:00:00"/>
    <d v="2019-01-01T00:00:00"/>
    <s v="Employee Benefits"/>
    <n v="10"/>
    <s v="Mark"/>
    <s v="Ahmedabad"/>
    <x v="3"/>
    <x v="0"/>
    <n v="64155.3"/>
    <d v="2018-01-02T00:00:00"/>
    <s v="Brokerage"/>
    <s v="Lapse"/>
    <s v="OTHR â€“ Other"/>
    <d v="2020-01-22T00:00:00"/>
  </r>
  <r>
    <s v="ZZ"/>
    <x v="553"/>
    <x v="1"/>
    <d v="2018-01-02T00:00:00"/>
    <d v="2019-01-01T00:00:00"/>
    <s v="Employee Benefits"/>
    <n v="10"/>
    <s v="Mark"/>
    <s v="Ahmedabad"/>
    <x v="3"/>
    <x v="0"/>
    <n v="5404.95"/>
    <d v="2018-01-02T00:00:00"/>
    <s v="Brokerage"/>
    <s v="Lapse"/>
    <s v="OTHR â€“ Other"/>
    <d v="2020-01-22T00:00:00"/>
  </r>
  <r>
    <s v="ZZ"/>
    <x v="554"/>
    <x v="0"/>
    <d v="2019-01-04T00:00:00"/>
    <d v="2020-01-03T00:00:00"/>
    <s v="Employee Benefits"/>
    <n v="10"/>
    <s v="Mark"/>
    <s v="Ahmedabad"/>
    <x v="3"/>
    <x v="0"/>
    <n v="5550"/>
    <d v="2019-01-04T00:00:00"/>
    <s v="Brokerage"/>
    <s v="Inception"/>
    <m/>
    <d v="2020-01-22T00:00:00"/>
  </r>
  <r>
    <s v="ZZ"/>
    <x v="555"/>
    <x v="0"/>
    <d v="2019-09-08T00:00:00"/>
    <d v="2020-09-07T00:00:00"/>
    <s v="Liability"/>
    <n v="13"/>
    <s v="Vididt Saha"/>
    <s v="Ahmedabad"/>
    <x v="2"/>
    <x v="0"/>
    <n v="18750"/>
    <d v="2019-09-08T00:00:00"/>
    <s v="Brokerage"/>
    <s v="Inception"/>
    <m/>
    <d v="2020-01-22T00:00:00"/>
  </r>
  <r>
    <s v="ZZ"/>
    <x v="556"/>
    <x v="0"/>
    <d v="2019-04-01T00:00:00"/>
    <d v="2020-03-31T00:00:00"/>
    <s v="Liability"/>
    <n v="13"/>
    <s v="Vididt Saha"/>
    <s v="Ahmedabad"/>
    <x v="2"/>
    <x v="2"/>
    <n v="74250"/>
    <d v="2019-04-01T00:00:00"/>
    <s v="Brokerage"/>
    <s v="Inception"/>
    <m/>
    <d v="2020-01-22T00:00:00"/>
  </r>
  <r>
    <s v="ZZ"/>
    <x v="557"/>
    <x v="0"/>
    <d v="2018-04-01T00:00:00"/>
    <d v="2019-03-31T00:00:00"/>
    <s v="Liability"/>
    <n v="12"/>
    <s v="Shivani Sharma"/>
    <s v="Ahmedabad"/>
    <x v="6"/>
    <x v="0"/>
    <n v="48652.25"/>
    <d v="2018-04-01T00:00:00"/>
    <s v="Brokerage"/>
    <s v="Inception"/>
    <m/>
    <d v="2020-01-22T00:00:00"/>
  </r>
  <r>
    <s v="ZZ"/>
    <x v="558"/>
    <x v="0"/>
    <d v="2019-08-26T00:00:00"/>
    <d v="2020-08-25T00:00:00"/>
    <s v="Miscellaneous"/>
    <n v="3"/>
    <s v="Animesh Rawat"/>
    <s v="Ahmedabad"/>
    <x v="6"/>
    <x v="2"/>
    <n v="1501.88"/>
    <d v="2019-08-26T00:00:00"/>
    <s v="Brokerage"/>
    <s v="Inception"/>
    <m/>
    <d v="2020-01-22T00:00:00"/>
  </r>
  <r>
    <s v="ZZ"/>
    <x v="559"/>
    <x v="0"/>
    <d v="2019-01-01T00:00:00"/>
    <d v="2019-12-31T00:00:00"/>
    <s v="Marine"/>
    <n v="3"/>
    <s v="Animesh Rawat"/>
    <s v="Ahmedabad"/>
    <x v="6"/>
    <x v="2"/>
    <n v="21157.34"/>
    <d v="2019-01-01T00:00:00"/>
    <s v="Brokerage"/>
    <s v="Inception"/>
    <m/>
    <d v="2020-01-22T00:00:00"/>
  </r>
  <r>
    <s v="ZZ"/>
    <x v="560"/>
    <x v="0"/>
    <d v="2019-01-01T00:00:00"/>
    <d v="2019-12-31T00:00:00"/>
    <s v="Liability"/>
    <n v="3"/>
    <s v="Animesh Rawat"/>
    <s v="Ahmedabad"/>
    <x v="6"/>
    <x v="2"/>
    <n v="12019.2"/>
    <d v="2019-01-01T00:00:00"/>
    <s v="Brokerage"/>
    <s v="Inception"/>
    <m/>
    <d v="2020-01-22T00:00:00"/>
  </r>
  <r>
    <s v="ZZ"/>
    <x v="561"/>
    <x v="0"/>
    <d v="2018-08-22T00:00:00"/>
    <d v="2019-08-21T00:00:00"/>
    <s v="Fire"/>
    <n v="3"/>
    <s v="Animesh Rawat"/>
    <s v="Ahmedabad"/>
    <x v="6"/>
    <x v="0"/>
    <n v="7324.12"/>
    <d v="2018-08-22T00:00:00"/>
    <s v="Brokerage"/>
    <s v="Inception"/>
    <m/>
    <d v="2020-01-22T00:00:00"/>
  </r>
  <r>
    <s v="ZZ"/>
    <x v="562"/>
    <x v="0"/>
    <d v="2018-08-22T00:00:00"/>
    <d v="2019-08-21T00:00:00"/>
    <s v="Fire"/>
    <n v="3"/>
    <s v="Animesh Rawat"/>
    <s v="Ahmedabad"/>
    <x v="6"/>
    <x v="0"/>
    <n v="19316.669999999998"/>
    <d v="2018-08-22T00:00:00"/>
    <s v="Brokerage"/>
    <s v="Inception"/>
    <m/>
    <d v="2020-01-22T00:00:00"/>
  </r>
  <r>
    <s v="ZZ"/>
    <x v="563"/>
    <x v="1"/>
    <d v="2018-02-26T00:00:00"/>
    <d v="2019-02-25T00:00:00"/>
    <s v="Employee Benefits"/>
    <n v="10"/>
    <s v="Mark"/>
    <s v="Ahmedabad"/>
    <x v="3"/>
    <x v="0"/>
    <n v="23115.200000000001"/>
    <d v="2018-02-26T00:00:00"/>
    <s v="Brokerage"/>
    <s v="Inception"/>
    <m/>
    <d v="2020-01-22T00:00:00"/>
  </r>
  <r>
    <s v="ZZ"/>
    <x v="564"/>
    <x v="0"/>
    <d v="2019-02-26T00:00:00"/>
    <d v="2020-02-25T00:00:00"/>
    <s v="Employee Benefits"/>
    <n v="10"/>
    <s v="Mark"/>
    <s v="Ahmedabad"/>
    <x v="3"/>
    <x v="0"/>
    <n v="25336.44"/>
    <d v="2019-02-26T00:00:00"/>
    <s v="Brokerage"/>
    <s v="Renewal"/>
    <m/>
    <d v="2020-01-22T00:00:00"/>
  </r>
  <r>
    <s v="ZZ"/>
    <x v="565"/>
    <x v="1"/>
    <d v="2018-02-28T00:00:00"/>
    <d v="2019-02-27T00:00:00"/>
    <s v="Employee Benefits"/>
    <n v="10"/>
    <s v="Mark"/>
    <s v="Ahmedabad"/>
    <x v="3"/>
    <x v="0"/>
    <n v="12699.7"/>
    <d v="2018-02-28T00:00:00"/>
    <s v="Brokerage"/>
    <s v="Endorsement"/>
    <m/>
    <d v="2020-01-22T00:00:00"/>
  </r>
  <r>
    <s v="ZZ"/>
    <x v="565"/>
    <x v="1"/>
    <d v="2018-02-28T00:00:00"/>
    <d v="2019-02-27T00:00:00"/>
    <s v="Employee Benefits"/>
    <n v="10"/>
    <s v="Mark"/>
    <s v="Ahmedabad"/>
    <x v="3"/>
    <x v="0"/>
    <m/>
    <d v="2018-04-16T00:00:00"/>
    <s v="Brokerage "/>
    <s v="Endorsement"/>
    <m/>
    <d v="2020-01-22T00:00:00"/>
  </r>
  <r>
    <s v="ZZ"/>
    <x v="566"/>
    <x v="1"/>
    <d v="2018-02-28T00:00:00"/>
    <d v="2019-02-27T00:00:00"/>
    <s v="Employee Benefits"/>
    <n v="10"/>
    <s v="Mark"/>
    <s v="Ahmedabad"/>
    <x v="3"/>
    <x v="0"/>
    <n v="177405.38"/>
    <d v="2018-02-28T00:00:00"/>
    <s v="Brokerage"/>
    <s v="Endorsement"/>
    <m/>
    <d v="2020-01-22T00:00:00"/>
  </r>
  <r>
    <s v="ZZ"/>
    <x v="566"/>
    <x v="1"/>
    <d v="2018-02-28T00:00:00"/>
    <d v="2019-02-27T00:00:00"/>
    <s v="Employee Benefits"/>
    <n v="10"/>
    <s v="Mark"/>
    <s v="Ahmedabad"/>
    <x v="3"/>
    <x v="0"/>
    <m/>
    <d v="2018-07-18T00:00:00"/>
    <s v="Brokerage "/>
    <s v="Endorsement"/>
    <m/>
    <d v="2020-01-22T00:00:00"/>
  </r>
  <r>
    <s v="ZZ"/>
    <x v="566"/>
    <x v="1"/>
    <d v="2018-02-28T00:00:00"/>
    <d v="2019-02-27T00:00:00"/>
    <s v="Employee Benefits"/>
    <n v="10"/>
    <s v="Mark"/>
    <s v="Ahmedabad"/>
    <x v="3"/>
    <x v="0"/>
    <m/>
    <d v="2018-09-05T00:00:00"/>
    <s v="Brokerage "/>
    <s v="Endorsement"/>
    <m/>
    <d v="2020-01-22T00:00:00"/>
  </r>
  <r>
    <s v="ZZ"/>
    <x v="566"/>
    <x v="1"/>
    <d v="2018-02-28T00:00:00"/>
    <d v="2019-02-27T00:00:00"/>
    <s v="Employee Benefits"/>
    <n v="10"/>
    <s v="Mark"/>
    <s v="Ahmedabad"/>
    <x v="3"/>
    <x v="0"/>
    <m/>
    <d v="2018-04-10T00:00:00"/>
    <s v="Brokerage "/>
    <s v="Endorsement"/>
    <m/>
    <d v="2020-01-22T00:00:00"/>
  </r>
  <r>
    <s v="ZZ"/>
    <x v="567"/>
    <x v="1"/>
    <d v="2018-06-12T00:00:00"/>
    <d v="2019-06-11T00:00:00"/>
    <s v="Employee Benefits"/>
    <n v="10"/>
    <s v="Mark"/>
    <s v="Ahmedabad"/>
    <x v="3"/>
    <x v="2"/>
    <n v="63872.4"/>
    <d v="2018-06-12T00:00:00"/>
    <s v="Brokerage"/>
    <s v="Lapse"/>
    <s v="OTHR â€“ Other"/>
    <d v="2020-01-22T00:00:00"/>
  </r>
  <r>
    <s v="ZZ"/>
    <x v="567"/>
    <x v="1"/>
    <d v="2018-06-12T00:00:00"/>
    <d v="2019-06-11T00:00:00"/>
    <s v="Employee Benefits"/>
    <n v="10"/>
    <s v="Mark"/>
    <s v="Ahmedabad"/>
    <x v="3"/>
    <x v="2"/>
    <m/>
    <d v="2018-08-06T00:00:00"/>
    <s v="Brokerage "/>
    <s v="Lapse"/>
    <m/>
    <d v="2020-01-22T00:00:00"/>
  </r>
  <r>
    <s v="ZZ"/>
    <x v="568"/>
    <x v="0"/>
    <d v="2019-02-28T00:00:00"/>
    <d v="2020-02-27T00:00:00"/>
    <s v="Employee Benefits"/>
    <n v="10"/>
    <s v="Mark"/>
    <s v="Ahmedabad"/>
    <x v="3"/>
    <x v="0"/>
    <n v="11111.4"/>
    <d v="2019-02-28T00:00:00"/>
    <s v="Brokerage"/>
    <s v="Renewal"/>
    <m/>
    <d v="2020-01-22T00:00:00"/>
  </r>
  <r>
    <s v="ZZ"/>
    <x v="569"/>
    <x v="0"/>
    <d v="2019-02-28T00:00:00"/>
    <d v="2020-02-27T00:00:00"/>
    <s v="Employee Benefits"/>
    <n v="10"/>
    <s v="Mark"/>
    <s v="Ahmedabad"/>
    <x v="3"/>
    <x v="0"/>
    <n v="329250"/>
    <d v="2019-02-28T00:00:00"/>
    <s v="Brokerage"/>
    <s v="Endorsement"/>
    <m/>
    <d v="2020-01-22T00:00:00"/>
  </r>
  <r>
    <s v="ZZ"/>
    <x v="569"/>
    <x v="0"/>
    <d v="2019-02-28T00:00:00"/>
    <d v="2020-02-27T00:00:00"/>
    <s v="Employee Benefits"/>
    <n v="10"/>
    <s v="Mark"/>
    <s v="Ahmedabad"/>
    <x v="3"/>
    <x v="0"/>
    <n v="10772.33"/>
    <d v="2019-03-14T00:00:00"/>
    <s v="Brokerage "/>
    <s v="Endorsement"/>
    <m/>
    <d v="2020-01-22T00:00:00"/>
  </r>
  <r>
    <s v="ZZ"/>
    <x v="569"/>
    <x v="0"/>
    <d v="2019-02-28T00:00:00"/>
    <d v="2020-02-27T00:00:00"/>
    <s v="Employee Benefits"/>
    <n v="10"/>
    <s v="Mark"/>
    <s v="Ahmedabad"/>
    <x v="3"/>
    <x v="0"/>
    <n v="9283.0499999999993"/>
    <d v="2019-04-18T00:00:00"/>
    <s v="Brokerage "/>
    <s v="Endorsement"/>
    <m/>
    <d v="2020-01-22T00:00:00"/>
  </r>
  <r>
    <s v="ZZ"/>
    <x v="569"/>
    <x v="0"/>
    <d v="2019-02-28T00:00:00"/>
    <d v="2020-02-27T00:00:00"/>
    <s v="Employee Benefits"/>
    <n v="10"/>
    <s v="Mark"/>
    <s v="Ahmedabad"/>
    <x v="3"/>
    <x v="0"/>
    <n v="6903.45"/>
    <d v="2019-05-30T00:00:00"/>
    <s v="Brokerage "/>
    <s v="Endorsement"/>
    <m/>
    <d v="2020-01-22T00:00:00"/>
  </r>
  <r>
    <s v="ZZ"/>
    <x v="569"/>
    <x v="0"/>
    <d v="2019-02-28T00:00:00"/>
    <d v="2020-02-27T00:00:00"/>
    <s v="Employee Benefits"/>
    <n v="10"/>
    <s v="Mark"/>
    <s v="Ahmedabad"/>
    <x v="3"/>
    <x v="0"/>
    <n v="399.23"/>
    <d v="2019-06-21T00:00:00"/>
    <s v="Brokerage "/>
    <s v="Endorsement"/>
    <m/>
    <d v="2020-01-22T00:00:00"/>
  </r>
  <r>
    <s v="ZZ"/>
    <x v="569"/>
    <x v="0"/>
    <d v="2019-02-28T00:00:00"/>
    <d v="2020-02-27T00:00:00"/>
    <s v="Employee Benefits"/>
    <n v="10"/>
    <s v="Mark"/>
    <s v="Ahmedabad"/>
    <x v="3"/>
    <x v="0"/>
    <n v="6259.35"/>
    <d v="2019-06-21T00:00:00"/>
    <s v="Brokerage "/>
    <s v="Endorsement"/>
    <m/>
    <d v="2020-01-22T00:00:00"/>
  </r>
  <r>
    <s v="ZZ"/>
    <x v="569"/>
    <x v="0"/>
    <d v="2019-02-28T00:00:00"/>
    <d v="2020-02-27T00:00:00"/>
    <s v="Employee Benefits"/>
    <n v="10"/>
    <s v="Mark"/>
    <s v="Ahmedabad"/>
    <x v="3"/>
    <x v="0"/>
    <n v="7110.45"/>
    <d v="2019-07-29T00:00:00"/>
    <s v="Brokerage "/>
    <s v="Endorsement"/>
    <m/>
    <d v="2020-01-22T00:00:00"/>
  </r>
  <r>
    <s v="ZZ"/>
    <x v="569"/>
    <x v="0"/>
    <d v="2019-02-28T00:00:00"/>
    <d v="2020-02-27T00:00:00"/>
    <s v="Employee Benefits"/>
    <n v="10"/>
    <s v="Mark"/>
    <s v="Ahmedabad"/>
    <x v="3"/>
    <x v="0"/>
    <n v="5501.03"/>
    <d v="2019-10-21T00:00:00"/>
    <s v="Brokerage "/>
    <s v="Endorsement"/>
    <m/>
    <d v="2020-01-22T00:00:00"/>
  </r>
  <r>
    <s v="ZZ"/>
    <x v="570"/>
    <x v="0"/>
    <d v="2019-11-08T00:00:00"/>
    <d v="2020-11-07T00:00:00"/>
    <s v="Employee Benefits"/>
    <n v="10"/>
    <s v="Mark"/>
    <s v="Ahmedabad"/>
    <x v="3"/>
    <x v="0"/>
    <n v="24311.1"/>
    <d v="2019-11-08T00:00:00"/>
    <s v="Brokerage"/>
    <s v="Inception"/>
    <m/>
    <d v="2020-01-22T00:00:00"/>
  </r>
  <r>
    <s v="ZZ"/>
    <x v="571"/>
    <x v="0"/>
    <d v="2018-07-31T00:00:00"/>
    <d v="2019-07-01T00:00:00"/>
    <s v="Liability"/>
    <n v="3"/>
    <s v="Animesh Rawat"/>
    <s v="Ahmedabad"/>
    <x v="6"/>
    <x v="0"/>
    <n v="42416.75"/>
    <d v="2019-07-01T00:00:00"/>
    <s v="Brokerage"/>
    <s v="Inception"/>
    <m/>
    <d v="2020-01-22T00:00:00"/>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8">
  <r>
    <s v="Ahmedabad"/>
    <n v="1"/>
    <s v="Vinay"/>
    <s v="Hunter &amp; Farmer"/>
    <x v="0"/>
    <x v="0"/>
    <x v="0"/>
  </r>
  <r>
    <s v="Ahmedabad"/>
    <n v="2"/>
    <s v="Abhinav Shivam"/>
    <s v="Servicer"/>
    <x v="1"/>
    <x v="1"/>
    <x v="1"/>
  </r>
  <r>
    <s v="Ahmedabad"/>
    <n v="3"/>
    <s v="Animesh Rawat"/>
    <s v="Servicer"/>
    <x v="2"/>
    <x v="2"/>
    <x v="2"/>
  </r>
  <r>
    <s v="Ahmedabad"/>
    <n v="4"/>
    <s v="Gilbert"/>
    <s v="BH"/>
    <x v="3"/>
    <x v="3"/>
    <x v="3"/>
  </r>
  <r>
    <s v="Ahmedabad"/>
    <n v="5"/>
    <s v="Juli"/>
    <s v="Hunter &amp; Farmer"/>
    <x v="4"/>
    <x v="4"/>
    <x v="4"/>
  </r>
  <r>
    <s v="Ahmedabad"/>
    <n v="8"/>
    <s v="Kumar Jha"/>
    <s v="Servicer Claims"/>
    <x v="5"/>
    <x v="5"/>
    <x v="5"/>
  </r>
  <r>
    <s v="Ahmedabad"/>
    <n v="6"/>
    <s v="Ketan Jain"/>
    <s v="Hunter &amp; Farmer"/>
    <x v="6"/>
    <x v="6"/>
    <x v="6"/>
  </r>
  <r>
    <s v="Ahmedabad"/>
    <n v="9"/>
    <s v="Manish Sharma"/>
    <s v="Hunter &amp; Farmer"/>
    <x v="7"/>
    <x v="7"/>
    <x v="4"/>
  </r>
  <r>
    <s v="Ahmedabad"/>
    <n v="10"/>
    <s v="Mark"/>
    <s v="Servicer"/>
    <x v="8"/>
    <x v="8"/>
    <x v="7"/>
  </r>
  <r>
    <s v="Ahmedabad"/>
    <n v="13"/>
    <s v="Vidit Shah"/>
    <s v="Farmer &amp; Servicer"/>
    <x v="9"/>
    <x v="9"/>
    <x v="8"/>
  </r>
  <r>
    <m/>
    <m/>
    <m/>
    <m/>
    <x v="10"/>
    <x v="10"/>
    <x v="9"/>
  </r>
  <r>
    <m/>
    <m/>
    <m/>
    <m/>
    <x v="10"/>
    <x v="10"/>
    <x v="9"/>
  </r>
  <r>
    <m/>
    <m/>
    <m/>
    <m/>
    <x v="10"/>
    <x v="10"/>
    <x v="9"/>
  </r>
  <r>
    <m/>
    <m/>
    <m/>
    <m/>
    <x v="10"/>
    <x v="10"/>
    <x v="9"/>
  </r>
  <r>
    <m/>
    <m/>
    <m/>
    <m/>
    <x v="10"/>
    <x v="10"/>
    <x v="9"/>
  </r>
  <r>
    <m/>
    <m/>
    <m/>
    <m/>
    <x v="10"/>
    <x v="10"/>
    <x v="9"/>
  </r>
  <r>
    <m/>
    <m/>
    <m/>
    <m/>
    <x v="10"/>
    <x v="10"/>
    <x v="9"/>
  </r>
  <r>
    <m/>
    <m/>
    <m/>
    <m/>
    <x v="10"/>
    <x v="10"/>
    <x v="9"/>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
  <r>
    <s v="A"/>
    <s v="Ahmedabad"/>
    <s v="Construction, Power &amp; Infrastructure"/>
    <n v="3"/>
    <s v="Nishant Sharma"/>
    <x v="0"/>
    <n v="139240"/>
    <d v="2019-07-17T00:00:00"/>
    <s v="Fees"/>
  </r>
  <r>
    <s v="A"/>
    <s v="Ahmedabad"/>
    <s v="Construction, Power &amp; Infrastructure"/>
    <n v="3"/>
    <s v="Nishant Sharma"/>
    <x v="0"/>
    <n v="139240"/>
    <d v="2019-01-21T00:00:00"/>
    <s v="Fees"/>
  </r>
  <r>
    <s v="B"/>
    <s v="Ahmedabad"/>
    <s v="GL Client Network (GNB Inward)"/>
    <n v="1"/>
    <s v="Vinay"/>
    <x v="1"/>
    <n v="2200"/>
    <d v="2019-12-20T00:00:00"/>
    <s v="Fees"/>
  </r>
  <r>
    <s v="C"/>
    <s v="Ahmedabad"/>
    <s v="GL Client Network (GNB Inward)"/>
    <n v="1"/>
    <s v="Vinay"/>
    <x v="1"/>
    <n v="4500"/>
    <d v="2019-01-25T00:00:00"/>
    <s v="Fees"/>
  </r>
  <r>
    <s v="D"/>
    <s v="Ahmedabad"/>
    <s v="Construction, Power &amp; Infrastructure"/>
    <n v="3"/>
    <s v="Nishant Sharma"/>
    <x v="0"/>
    <n v="118000"/>
    <d v="2019-03-15T00:00:00"/>
    <s v="Fees"/>
  </r>
  <r>
    <s v="E"/>
    <s v="Ahmedabad"/>
    <s v="GL Client Network (GNB Inward)"/>
    <n v="1"/>
    <s v="Vinay"/>
    <x v="1"/>
    <n v="2800"/>
    <d v="2019-05-28T00:00:00"/>
    <s v="Fees"/>
  </r>
  <r>
    <s v="F"/>
    <s v="Ahmedabad"/>
    <s v="GL Client Network (GNB Inward)"/>
    <n v="1"/>
    <s v="Vinay"/>
    <x v="1"/>
    <n v="3241"/>
    <d v="2019-01-25T00:00:00"/>
    <s v="Fees"/>
  </r>
  <r>
    <s v="G"/>
    <s v="Ahmedabad"/>
    <s v="Liability"/>
    <n v="2"/>
    <s v="Abhinav Shivam"/>
    <x v="2"/>
    <n v="100000"/>
    <d v="2019-04-10T00:00:00"/>
    <s v="Fees"/>
  </r>
  <r>
    <s v="H"/>
    <s v="Ahmedabad"/>
    <s v="GL Client Network (GNB Inward)"/>
    <n v="1"/>
    <s v="Vinay"/>
    <x v="1"/>
    <n v="5310"/>
    <d v="2019-12-06T00:00:00"/>
    <s v="Fees"/>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4">
  <r>
    <n v="1900001087"/>
    <n v="43566"/>
    <s v="Fees"/>
    <s v="Ahmedabad"/>
    <s v="Liability"/>
    <m/>
    <x v="0"/>
    <x v="0"/>
    <s v="I"/>
    <m/>
    <n v="84746"/>
    <n v="43565"/>
  </r>
  <r>
    <n v="1900001106"/>
    <n v="43602"/>
    <s v="Brokerage"/>
    <s v="Ahmedabad"/>
    <s v="Global Client Network (GNB Inward)"/>
    <m/>
    <x v="1"/>
    <x v="1"/>
    <s v="M"/>
    <s v="2414202092813599700"/>
    <n v="86724"/>
    <n v="43466"/>
  </r>
  <r>
    <n v="1900001110"/>
    <n v="43602"/>
    <s v="Brokerage"/>
    <s v="Ahmedabad"/>
    <s v="Global Client Network (GNB Inward)"/>
    <m/>
    <x v="1"/>
    <x v="1"/>
    <s v="S"/>
    <s v="OG-19-2202-1018-00000060"/>
    <n v="148500"/>
    <n v="43525"/>
  </r>
  <r>
    <n v="1900001136"/>
    <n v="43615"/>
    <s v="Brokerage"/>
    <s v="Ahmedabad"/>
    <s v="Global Client Network (GNB Inward)"/>
    <n v="1"/>
    <x v="2"/>
    <x v="2"/>
    <s v="V"/>
    <s v="OG-19-2202-3383-00000010"/>
    <n v="12019"/>
    <n v="43466"/>
  </r>
  <r>
    <n v="1900001164"/>
    <n v="43627"/>
    <s v="Brokerage"/>
    <s v="Ahmedabad"/>
    <s v="Global Client Network (GNB Inward)"/>
    <m/>
    <x v="1"/>
    <x v="1"/>
    <s v="I"/>
    <s v="020P000098803000"/>
    <n v="12500"/>
    <n v="43522"/>
  </r>
  <r>
    <n v="1900001165"/>
    <n v="43627"/>
    <s v="Brokerage"/>
    <s v="Ahmedabad"/>
    <s v="Employee Benefits (EB)"/>
    <m/>
    <x v="3"/>
    <x v="0"/>
    <s v="I"/>
    <s v="206314000000"/>
    <n v="58300"/>
    <n v="43512"/>
  </r>
  <r>
    <n v="1900001167"/>
    <n v="43629"/>
    <s v="Brokerage"/>
    <s v="Ahmedabad"/>
    <s v="Global Client Network (GNB Inward)"/>
    <n v="1"/>
    <x v="2"/>
    <x v="2"/>
    <s v="A"/>
    <s v="OG-19-2202-3383-00000009"/>
    <n v="12019"/>
    <n v="43466"/>
  </r>
  <r>
    <n v="1900001168"/>
    <n v="43629"/>
    <s v="Brokerage"/>
    <s v="Ahmedabad"/>
    <s v="Global Client Network (GNB Inward)"/>
    <n v="1"/>
    <x v="2"/>
    <x v="2"/>
    <s v="C"/>
    <s v="OG-19-2202-3383-00000008"/>
    <n v="30048"/>
    <n v="43466"/>
  </r>
  <r>
    <n v="1900001169"/>
    <n v="43629"/>
    <s v="Brokerage"/>
    <s v="Ahmedabad"/>
    <s v="Global Client Network (GNB Inward)"/>
    <m/>
    <x v="1"/>
    <x v="1"/>
    <s v="P"/>
    <s v="3124201589100599800"/>
    <n v="14394"/>
    <n v="43467"/>
  </r>
  <r>
    <n v="1900001282"/>
    <n v="43659"/>
    <s v="Brokerage"/>
    <s v="Ahmedabad"/>
    <s v="Employee Benefits (EB)"/>
    <m/>
    <x v="4"/>
    <x v="3"/>
    <s v="S"/>
    <s v="H0048996"/>
    <n v="32392"/>
    <n v="43595"/>
  </r>
  <r>
    <n v="1900001293"/>
    <n v="43662"/>
    <s v="Brokerage"/>
    <s v="Ahmedabad"/>
    <s v="Liability"/>
    <n v="13"/>
    <x v="5"/>
    <x v="2"/>
    <s v="M"/>
    <s v="'001P000202300000"/>
    <n v="162500"/>
    <n v="43560"/>
  </r>
  <r>
    <n v="1900001294"/>
    <n v="43662"/>
    <s v="Brokerage"/>
    <s v="Ahmedabad"/>
    <s v="Liability"/>
    <n v="13"/>
    <x v="5"/>
    <x v="2"/>
    <s v="M"/>
    <s v="'001P000203500000"/>
    <n v="250000"/>
    <n v="43573"/>
  </r>
  <r>
    <n v="1900001304"/>
    <n v="43663"/>
    <s v="Brokerage"/>
    <s v="Ahmedabad"/>
    <s v="Global Client Network (GNB Inward)"/>
    <n v="1"/>
    <x v="2"/>
    <x v="2"/>
    <s v="I"/>
    <s v="2280082714"/>
    <n v="2646"/>
    <n v="43535"/>
  </r>
  <r>
    <n v="1900001305"/>
    <n v="43663"/>
    <s v="Brokerage"/>
    <s v="Ahmedabad"/>
    <s v="Global Client Network (GNB Inward)"/>
    <m/>
    <x v="1"/>
    <x v="3"/>
    <s v="F"/>
    <s v="8502066"/>
    <n v="18150"/>
    <n v="43468"/>
  </r>
  <r>
    <n v="1900001306"/>
    <n v="43663"/>
    <s v="Brokerage"/>
    <s v="Ahmedabad"/>
    <s v="Liability"/>
    <n v="2"/>
    <x v="6"/>
    <x v="2"/>
    <s v="L"/>
    <s v="2999202758217600000&quot;"/>
    <n v="60025"/>
    <n v="43577"/>
  </r>
  <r>
    <n v="1900001308"/>
    <n v="43663"/>
    <s v="Brokerage"/>
    <s v="Ahmedabad"/>
    <s v="Construction, Power &amp; Infrastructure"/>
    <n v="3"/>
    <x v="7"/>
    <x v="2"/>
    <s v="G"/>
    <s v="99000044190299996000"/>
    <n v="134736"/>
    <n v="43580"/>
  </r>
  <r>
    <n v="1900001342"/>
    <n v="43669"/>
    <s v="Brokerage"/>
    <s v="Ahmedabad"/>
    <s v="Employee Benefits (EB)"/>
    <m/>
    <x v="4"/>
    <x v="1"/>
    <s v="S"/>
    <s v="H0048996"/>
    <n v="914999"/>
    <n v="43466"/>
  </r>
  <r>
    <n v="1900001354"/>
    <n v="43670"/>
    <s v="Brokerage"/>
    <s v="Ahmedabad"/>
    <s v="Global Client Network (GNB Inward)"/>
    <n v="1"/>
    <x v="2"/>
    <x v="2"/>
    <s v="P"/>
    <s v="3114202748210200100"/>
    <n v="2942"/>
    <n v="43566"/>
  </r>
  <r>
    <n v="1900001355"/>
    <n v="43670"/>
    <s v="Brokerage"/>
    <s v="Ahmedabad"/>
    <s v="Global Client Network (GNB Inward)"/>
    <n v="1"/>
    <x v="2"/>
    <x v="2"/>
    <s v="M"/>
    <s v="OG-19-2202-1002-00001981"/>
    <n v="6740"/>
    <n v="43528"/>
  </r>
  <r>
    <n v="1900001356"/>
    <n v="43670"/>
    <s v="Brokerage"/>
    <s v="Ahmedabad"/>
    <s v="Global Client Network (GNB Inward)"/>
    <m/>
    <x v="1"/>
    <x v="1"/>
    <s v="M"/>
    <s v="OG-19-2202-1002-00001901"/>
    <n v="6740"/>
    <n v="43513"/>
  </r>
  <r>
    <n v="1900001361"/>
    <n v="43673"/>
    <s v="Brokerage"/>
    <s v="Ahmedabad"/>
    <s v="Liability"/>
    <n v="3"/>
    <x v="7"/>
    <x v="2"/>
    <s v="T"/>
    <s v="41045707"/>
    <n v="74250"/>
    <n v="43556"/>
  </r>
  <r>
    <n v="1900001376"/>
    <n v="43675"/>
    <s v="Brokerage"/>
    <s v="Ahmedabad"/>
    <s v="Employee Benefits (EB)"/>
    <m/>
    <x v="4"/>
    <x v="3"/>
    <s v="S"/>
    <s v="H0056637"/>
    <n v="1614"/>
    <n v="43535"/>
  </r>
  <r>
    <n v="1900001377"/>
    <n v="43675"/>
    <s v="Brokerage"/>
    <s v="Ahmedabad"/>
    <s v="Marine"/>
    <n v="13"/>
    <x v="5"/>
    <x v="2"/>
    <s v="P"/>
    <s v="'99000021180100000013"/>
    <n v="11540"/>
    <n v="43494"/>
  </r>
  <r>
    <n v="1900001385"/>
    <n v="43677"/>
    <s v="Brokerage"/>
    <s v="Ahmedabad"/>
    <s v="Global Client Network (GNB Inward)"/>
    <m/>
    <x v="1"/>
    <x v="3"/>
    <s v="S"/>
    <s v="P0019200001/9999/100301"/>
    <n v="2140"/>
    <n v="43495"/>
  </r>
  <r>
    <n v="1900001388"/>
    <n v="43677"/>
    <s v="Brokerage"/>
    <s v="Ahmedabad"/>
    <s v="Global Client Network (GNB Inward)"/>
    <m/>
    <x v="1"/>
    <x v="1"/>
    <s v="F"/>
    <s v="0000000008502066-01"/>
    <n v="45375"/>
    <n v="43525"/>
  </r>
  <r>
    <n v="1900001390"/>
    <n v="43677"/>
    <s v="Brokerage"/>
    <s v="Ahmedabad"/>
    <s v="Global Client Network (GNB Inward)"/>
    <n v="1"/>
    <x v="2"/>
    <x v="2"/>
    <s v="M"/>
    <s v="32119154"/>
    <n v="11593"/>
    <n v="43556"/>
  </r>
  <r>
    <n v="1900001392"/>
    <n v="43677"/>
    <s v="Brokerage"/>
    <s v="Ahmedabad"/>
    <s v="Employee Benefits (EB)"/>
    <m/>
    <x v="4"/>
    <x v="3"/>
    <s v="S"/>
    <s v="H0048996"/>
    <n v="46995"/>
    <n v="43494"/>
  </r>
  <r>
    <n v="1900001393"/>
    <n v="43677"/>
    <s v="Brokerage"/>
    <s v="Ahmedabad"/>
    <s v="Global Client Network (GNB Inward)"/>
    <n v="1"/>
    <x v="2"/>
    <x v="2"/>
    <s v="M"/>
    <s v="OG-19-2202-4010-00002245"/>
    <n v="529"/>
    <n v="43514"/>
  </r>
  <r>
    <n v="1900001394"/>
    <n v="43677"/>
    <s v="Brokerage"/>
    <s v="Ahmedabad"/>
    <s v="Global Client Network (GNB Inward)"/>
    <m/>
    <x v="1"/>
    <x v="1"/>
    <s v="B"/>
    <s v="OG-19-2202-1018-00000059"/>
    <n v="18563"/>
    <n v="43525"/>
  </r>
  <r>
    <n v="1900001396"/>
    <n v="43677"/>
    <s v="Brokerage"/>
    <s v="Ahmedabad"/>
    <s v="Employee Benefits (EB)"/>
    <m/>
    <x v="4"/>
    <x v="3"/>
    <s v="S"/>
    <s v="H0048996"/>
    <n v="27435"/>
    <n v="43488"/>
  </r>
  <r>
    <n v="1900001397"/>
    <n v="43677"/>
    <s v="Brokerage"/>
    <s v="Ahmedabad"/>
    <s v="Employee Benefits (EB)"/>
    <m/>
    <x v="4"/>
    <x v="1"/>
    <s v="W"/>
    <s v="505373-01"/>
    <n v="25336"/>
    <n v="43522"/>
  </r>
  <r>
    <n v="1900001398"/>
    <n v="43677"/>
    <s v="Brokerage"/>
    <s v="Ahmedabad"/>
    <s v="Employee Benefits (EB)"/>
    <m/>
    <x v="4"/>
    <x v="3"/>
    <s v="W"/>
    <s v="H0067187"/>
    <n v="10772"/>
    <n v="43538"/>
  </r>
  <r>
    <n v="1900001403"/>
    <n v="43677"/>
    <s v="Brokerage"/>
    <s v="Ahmedabad"/>
    <s v="Employee Benefits (EB)"/>
    <m/>
    <x v="4"/>
    <x v="3"/>
    <s v="W"/>
    <s v="H0067187"/>
    <n v="9283"/>
    <n v="43573"/>
  </r>
  <r>
    <n v="1900001404"/>
    <n v="43677"/>
    <s v="Brokerage"/>
    <s v="Ahmedabad"/>
    <s v="Employee Benefits (EB)"/>
    <m/>
    <x v="4"/>
    <x v="3"/>
    <s v="W"/>
    <s v="H0067187"/>
    <n v="6903"/>
    <n v="43615"/>
  </r>
  <r>
    <n v="1900001405"/>
    <n v="43677"/>
    <s v="Brokerage"/>
    <s v="Ahmedabad"/>
    <s v="Construction, Power &amp; Infrastructure"/>
    <m/>
    <x v="5"/>
    <x v="1"/>
    <s v="P"/>
    <s v="'99000044190700000001"/>
    <n v="90663"/>
    <n v="43556"/>
  </r>
  <r>
    <n v="1900001583"/>
    <n v="43691"/>
    <s v="Brokerage"/>
    <s v="Ahmedabad"/>
    <s v="Employee Benefits (EB)"/>
    <m/>
    <x v="4"/>
    <x v="1"/>
    <s v="T"/>
    <s v="100200080123/01/00"/>
    <n v="156000"/>
    <n v="43469"/>
  </r>
  <r>
    <n v="1900001602"/>
    <n v="43694"/>
    <s v="Brokerage"/>
    <s v="Ahmedabad"/>
    <s v="Global Client Network (GNB Inward)"/>
    <n v="1"/>
    <x v="2"/>
    <x v="2"/>
    <s v="V"/>
    <s v="OG-19-2202-1018-00000054"/>
    <n v="21157"/>
    <n v="43466"/>
  </r>
  <r>
    <n v="1900001603"/>
    <n v="43694"/>
    <s v="Brokerage"/>
    <s v="Ahmedabad"/>
    <s v="Global Client Network (GNB Inward)"/>
    <n v="1"/>
    <x v="2"/>
    <x v="2"/>
    <s v="C"/>
    <s v="OG-19-2202-1018-00000053"/>
    <n v="77787"/>
    <n v="43466"/>
  </r>
  <r>
    <n v="1900001604"/>
    <n v="43694"/>
    <s v="Brokerage"/>
    <s v="Ahmedabad"/>
    <s v="Global Client Network (GNB Inward)"/>
    <n v="1"/>
    <x v="2"/>
    <x v="2"/>
    <s v="M"/>
    <s v="OG-19-2202-4001-00011127"/>
    <n v="8468"/>
    <n v="43514"/>
  </r>
  <r>
    <n v="1900001605"/>
    <n v="43694"/>
    <s v="Brokerage"/>
    <s v="Ahmedabad"/>
    <s v="Employee Benefits (EB)"/>
    <m/>
    <x v="4"/>
    <x v="1"/>
    <s v="A"/>
    <s v="237164239 00"/>
    <n v="1825"/>
    <n v="43497"/>
  </r>
  <r>
    <n v="1900001606"/>
    <n v="43694"/>
    <s v="Brokerage"/>
    <s v="Ahmedabad"/>
    <s v="Employee Benefits (EB)"/>
    <m/>
    <x v="4"/>
    <x v="1"/>
    <s v="W"/>
    <s v="H0067187"/>
    <n v="329250"/>
    <n v="43524"/>
  </r>
  <r>
    <n v="1900001607"/>
    <n v="43694"/>
    <s v="Brokerage"/>
    <s v="Ahmedabad"/>
    <s v="Global Client Network (GNB Inward)"/>
    <m/>
    <x v="1"/>
    <x v="1"/>
    <s v="M"/>
    <s v="304003763"/>
    <n v="344794"/>
    <n v="43556"/>
  </r>
  <r>
    <n v="1900001608"/>
    <n v="43694"/>
    <s v="Brokerage"/>
    <s v="Ahmedabad"/>
    <s v="Global Client Network (GNB Inward)"/>
    <m/>
    <x v="1"/>
    <x v="1"/>
    <s v="M"/>
    <s v="2304001082-01"/>
    <n v="37500"/>
    <n v="43556"/>
  </r>
  <r>
    <n v="1900001609"/>
    <n v="43694"/>
    <s v="Brokerage"/>
    <s v="Ahmedabad"/>
    <s v="Employee Benefits (EB)"/>
    <m/>
    <x v="4"/>
    <x v="1"/>
    <s v="S"/>
    <s v="H0056637"/>
    <n v="49789"/>
    <n v="43466"/>
  </r>
  <r>
    <n v="1900001610"/>
    <n v="43694"/>
    <s v="Brokerage"/>
    <s v="Ahmedabad"/>
    <s v="Global Client Network (GNB Inward)"/>
    <m/>
    <x v="1"/>
    <x v="1"/>
    <s v="G"/>
    <s v="0600010004 01"/>
    <n v="64"/>
    <n v="43540"/>
  </r>
  <r>
    <n v="1900001611"/>
    <n v="43694"/>
    <s v="Brokerage"/>
    <s v="Ahmedabad"/>
    <s v="Global Client Network (GNB Inward)"/>
    <m/>
    <x v="1"/>
    <x v="1"/>
    <s v="I"/>
    <s v="0000000008907502-01"/>
    <n v="6250"/>
    <n v="43520"/>
  </r>
  <r>
    <n v="1900002041"/>
    <n v="43705"/>
    <s v="Brokerage"/>
    <s v="Ahmedabad"/>
    <s v="Trade Credit &amp;amp; Political Risk"/>
    <m/>
    <x v="8"/>
    <x v="1"/>
    <s v="T"/>
    <s v="13100050180100000000"/>
    <n v="124875"/>
    <n v="43531"/>
  </r>
  <r>
    <n v="1900002042"/>
    <n v="43705"/>
    <s v="Brokerage"/>
    <s v="Ahmedabad"/>
    <s v="Liability"/>
    <n v="3"/>
    <x v="7"/>
    <x v="2"/>
    <s v="S"/>
    <s v="43190133"/>
    <n v="7783"/>
    <n v="43627"/>
  </r>
  <r>
    <n v="1900002043"/>
    <n v="43705"/>
    <s v="Brokerage"/>
    <s v="Ahmedabad"/>
    <s v="Liability"/>
    <n v="3"/>
    <x v="7"/>
    <x v="2"/>
    <s v="S"/>
    <s v="43189992"/>
    <n v="7835"/>
    <n v="43626"/>
  </r>
  <r>
    <n v="1900002044"/>
    <n v="43705"/>
    <s v="Brokerage"/>
    <s v="Ahmedabad"/>
    <s v="Liability"/>
    <m/>
    <x v="3"/>
    <x v="0"/>
    <s v="F"/>
    <s v="41045400"/>
    <n v="70125"/>
    <n v="43543"/>
  </r>
  <r>
    <n v="1900002045"/>
    <n v="43705"/>
    <s v="Brokerage"/>
    <s v="Ahmedabad"/>
    <s v="Liability"/>
    <m/>
    <x v="3"/>
    <x v="0"/>
    <s v="F"/>
    <s v="41045403"/>
    <n v="70125"/>
    <n v="43543"/>
  </r>
  <r>
    <n v="1900002046"/>
    <n v="43705"/>
    <s v="Brokerage"/>
    <s v="Ahmedabad"/>
    <s v="Property / BI"/>
    <m/>
    <x v="5"/>
    <x v="1"/>
    <s v="P"/>
    <s v="'99000046192400000001"/>
    <n v="60229"/>
    <n v="43556"/>
  </r>
  <r>
    <n v="1900002047"/>
    <n v="43705"/>
    <s v="Brokerage"/>
    <s v="Ahmedabad"/>
    <s v="Property / BI"/>
    <m/>
    <x v="5"/>
    <x v="1"/>
    <s v="P"/>
    <s v="'99000011180100000303"/>
    <n v="98931"/>
    <n v="43481"/>
  </r>
  <r>
    <n v="1900002048"/>
    <n v="43705"/>
    <s v="Brokerage"/>
    <s v="Ahmedabad"/>
    <s v="Global Client Network (GNB Inward)"/>
    <n v="1"/>
    <x v="2"/>
    <x v="2"/>
    <s v="A"/>
    <s v="OG-19-2202-1018-00000055"/>
    <n v="21769"/>
    <n v="43466"/>
  </r>
  <r>
    <n v="1900002049"/>
    <n v="43705"/>
    <s v="Brokerage"/>
    <s v="Ahmedabad"/>
    <s v="Global Client Network (GNB Inward)"/>
    <m/>
    <x v="1"/>
    <x v="1"/>
    <s v="G"/>
    <s v="0640002231 04"/>
    <n v="65369"/>
    <n v="43572"/>
  </r>
  <r>
    <n v="1900002050"/>
    <n v="43705"/>
    <s v="Brokerage"/>
    <s v="Ahmedabad"/>
    <s v="Global Client Network (GNB Inward)"/>
    <m/>
    <x v="1"/>
    <x v="1"/>
    <s v="D"/>
    <s v="304003761"/>
    <n v="5206"/>
    <n v="43556"/>
  </r>
  <r>
    <n v="1900002051"/>
    <n v="43705"/>
    <s v="Brokerage"/>
    <s v="Ahmedabad"/>
    <s v="Global Client Network (GNB Inward)"/>
    <m/>
    <x v="1"/>
    <x v="1"/>
    <s v="N"/>
    <s v="0301004265-1"/>
    <n v="23750"/>
    <n v="43533"/>
  </r>
  <r>
    <n v="1900002052"/>
    <n v="43705"/>
    <s v="Brokerage"/>
    <s v="Ahmedabad"/>
    <s v="Global Client Network (GNB Inward)"/>
    <m/>
    <x v="1"/>
    <x v="1"/>
    <s v="G"/>
    <s v="0600010004 02"/>
    <n v="1557"/>
    <n v="43571"/>
  </r>
  <r>
    <n v="1900002072"/>
    <n v="43705"/>
    <s v="Brokerage"/>
    <s v="Ahmedabad"/>
    <s v="Construction, Power &amp; Infrastructure"/>
    <n v="13"/>
    <x v="5"/>
    <x v="2"/>
    <s v="P"/>
    <s v="'99000044190300000004"/>
    <n v="40960"/>
    <n v="43575"/>
  </r>
  <r>
    <n v="1900002229"/>
    <n v="43708"/>
    <s v="Brokerage"/>
    <s v="Ahmedabad"/>
    <s v="Construction, Power &amp; Infrastructure"/>
    <m/>
    <x v="5"/>
    <x v="1"/>
    <s v="P"/>
    <s v="'99000044180700000012"/>
    <n v="12055"/>
    <n v="43510"/>
  </r>
  <r>
    <n v="1900002230"/>
    <n v="43708"/>
    <s v="Brokerage"/>
    <s v="Ahmedabad"/>
    <s v="Property / BI"/>
    <m/>
    <x v="5"/>
    <x v="1"/>
    <s v="P"/>
    <s v="'99000011180100000340"/>
    <n v="131090"/>
    <n v="43522"/>
  </r>
  <r>
    <n v="1900002232"/>
    <n v="43708"/>
    <s v="Brokerage"/>
    <s v="Ahmedabad"/>
    <s v="Construction, Power &amp; Infrastructure"/>
    <m/>
    <x v="5"/>
    <x v="1"/>
    <s v="P"/>
    <s v="'99000044185800000014"/>
    <n v="27069"/>
    <n v="43510"/>
  </r>
  <r>
    <n v="1900002265"/>
    <n v="43708"/>
    <s v="Brokerage"/>
    <s v="Ahmedabad"/>
    <s v="Global Client Network (GNB Inward)"/>
    <m/>
    <x v="1"/>
    <x v="1"/>
    <s v="M"/>
    <s v="4092/151965577/01/000"/>
    <n v="215165"/>
    <n v="43556"/>
  </r>
  <r>
    <n v="1900002331"/>
    <n v="43711"/>
    <s v="Brokerage"/>
    <s v="Ahmedabad"/>
    <s v="Global Client Network (GNB Inward)"/>
    <m/>
    <x v="1"/>
    <x v="1"/>
    <s v="P"/>
    <s v="5002/131802941/02/000"/>
    <n v="870"/>
    <n v="43611"/>
  </r>
  <r>
    <n v="1900002384"/>
    <n v="43713"/>
    <s v="Brokerage"/>
    <s v="Ahmedabad"/>
    <s v="Trade Credit &amp;amp; Political Risk"/>
    <m/>
    <x v="8"/>
    <x v="3"/>
    <s v="M"/>
    <s v="2000010048"/>
    <n v="8174"/>
    <n v="43664"/>
  </r>
  <r>
    <n v="1900002387"/>
    <n v="43713"/>
    <s v="Brokerage"/>
    <s v="Ahmedabad"/>
    <s v="Employee Benefits (EB)"/>
    <m/>
    <x v="4"/>
    <x v="1"/>
    <s v="S"/>
    <s v="4016/120415654/03/00"/>
    <n v="22246"/>
    <n v="43660"/>
  </r>
  <r>
    <n v="1900002458"/>
    <n v="43717"/>
    <s v="Brokerage"/>
    <s v="Ahmedabad"/>
    <s v="Liability"/>
    <m/>
    <x v="3"/>
    <x v="0"/>
    <s v="P"/>
    <s v="43187020"/>
    <n v="7451"/>
    <n v="43577"/>
  </r>
  <r>
    <n v="1900002464"/>
    <n v="43717"/>
    <s v="Brokerage"/>
    <s v="Ahmedabad"/>
    <s v="Employee Benefits (EB)"/>
    <m/>
    <x v="4"/>
    <x v="3"/>
    <s v="W"/>
    <s v="H0067187"/>
    <n v="7110"/>
    <n v="43675"/>
  </r>
  <r>
    <n v="1900002472"/>
    <n v="43717"/>
    <s v="Brokerage"/>
    <s v="Ahmedabad"/>
    <s v="Global Client Network (GNB Inward)"/>
    <m/>
    <x v="1"/>
    <x v="1"/>
    <s v="P"/>
    <s v="4006/131284920/02/000"/>
    <n v="692"/>
    <n v="43600"/>
  </r>
  <r>
    <n v="1900002635"/>
    <n v="43725"/>
    <s v="Brokerage"/>
    <s v="Ahmedabad"/>
    <s v="Trade Credit &amp;amp; Political Risk"/>
    <m/>
    <x v="8"/>
    <x v="1"/>
    <s v="P"/>
    <s v="NBI Domestic"/>
    <n v="65051"/>
    <n v="43466"/>
  </r>
  <r>
    <n v="1900002636"/>
    <n v="43725"/>
    <s v="Brokerage"/>
    <s v="Ahmedabad"/>
    <s v="Global Client Network (GNB Inward)"/>
    <m/>
    <x v="1"/>
    <x v="1"/>
    <s v="M"/>
    <s v="4001/117090005/03/000"/>
    <n v="1005"/>
    <n v="43586"/>
  </r>
  <r>
    <n v="1900002637"/>
    <n v="43725"/>
    <s v="Brokerage"/>
    <s v="Ahmedabad"/>
    <s v="Employee Benefits (EB)"/>
    <m/>
    <x v="4"/>
    <x v="3"/>
    <s v="W"/>
    <s v="H0067187"/>
    <n v="6259"/>
    <n v="43637"/>
  </r>
  <r>
    <n v="1900002638"/>
    <n v="43725"/>
    <s v="Brokerage"/>
    <s v="Ahmedabad"/>
    <s v="Employee Benefits (EB)"/>
    <m/>
    <x v="4"/>
    <x v="3"/>
    <s v="S"/>
    <s v="H0048996"/>
    <n v="9941"/>
    <n v="43656"/>
  </r>
  <r>
    <n v="1900002639"/>
    <n v="43725"/>
    <s v="Brokerage"/>
    <s v="Ahmedabad"/>
    <s v="Global Client Network (GNB Inward)"/>
    <n v="1"/>
    <x v="2"/>
    <x v="2"/>
    <s v="M"/>
    <s v="2600015265 00"/>
    <n v="9990"/>
    <n v="43608"/>
  </r>
  <r>
    <n v="1900002640"/>
    <n v="43725"/>
    <s v="Brokerage"/>
    <s v="Ahmedabad"/>
    <s v="Employee Benefits (EB)"/>
    <m/>
    <x v="4"/>
    <x v="1"/>
    <s v="B"/>
    <s v="4016/133979727/02/000"/>
    <n v="74673"/>
    <n v="43645"/>
  </r>
  <r>
    <n v="1900002880"/>
    <n v="43728"/>
    <s v="Brokerage"/>
    <s v="Ahmedabad"/>
    <s v="Global Client Network (GNB Inward)"/>
    <m/>
    <x v="1"/>
    <x v="1"/>
    <s v="G"/>
    <s v="0640002231 03"/>
    <n v="4362"/>
    <n v="43557"/>
  </r>
  <r>
    <n v="1900003129"/>
    <n v="43738"/>
    <s v="Brokerage"/>
    <s v="Ahmedabad"/>
    <s v="Property / BI"/>
    <m/>
    <x v="5"/>
    <x v="1"/>
    <s v="P"/>
    <s v="'99000011180100000339"/>
    <n v="1610"/>
    <n v="43510"/>
  </r>
  <r>
    <n v="1900003131"/>
    <n v="43738"/>
    <s v="Brokerage"/>
    <s v="Ahmedabad"/>
    <s v="Global Client Network (GNB Inward)"/>
    <m/>
    <x v="1"/>
    <x v="1"/>
    <s v="M"/>
    <s v="3114201124820199900"/>
    <n v="20166"/>
    <n v="43647"/>
  </r>
  <r>
    <n v="1900003209"/>
    <n v="43748"/>
    <s v="Brokerage"/>
    <s v="Ahmedabad"/>
    <s v="Employee Benefits (EB)"/>
    <m/>
    <x v="4"/>
    <x v="1"/>
    <s v="B"/>
    <s v="4005/134645920/02/000"/>
    <n v="8605"/>
    <n v="43645"/>
  </r>
  <r>
    <n v="1900003210"/>
    <n v="43748"/>
    <s v="Brokerage"/>
    <s v="Ahmedabad"/>
    <s v="Employee Benefits (EB)"/>
    <m/>
    <x v="4"/>
    <x v="1"/>
    <s v="F"/>
    <s v="4101190600000030-00"/>
    <n v="52500"/>
    <n v="43602"/>
  </r>
  <r>
    <n v="1900003211"/>
    <n v="43748"/>
    <s v="Brokerage"/>
    <s v="Ahmedabad"/>
    <s v="Liability"/>
    <n v="13"/>
    <x v="5"/>
    <x v="2"/>
    <s v="P"/>
    <s v="'99000036181500000054"/>
    <n v="21875"/>
    <n v="43497"/>
  </r>
  <r>
    <n v="1900003212"/>
    <n v="43748"/>
    <s v="Brokerage"/>
    <s v="Ahmedabad"/>
    <s v="Employee Benefits (EB)"/>
    <m/>
    <x v="4"/>
    <x v="3"/>
    <s v="S"/>
    <s v="H0048996"/>
    <n v="93906"/>
    <n v="43531"/>
  </r>
  <r>
    <n v="1900003213"/>
    <n v="43748"/>
    <s v="Brokerage"/>
    <s v="Ahmedabad"/>
    <s v="Employee Benefits (EB)"/>
    <m/>
    <x v="4"/>
    <x v="1"/>
    <s v="S"/>
    <s v="54407334"/>
    <n v="23387"/>
    <n v="43466"/>
  </r>
  <r>
    <n v="1900003214"/>
    <n v="43748"/>
    <s v="Brokerage"/>
    <s v="Ahmedabad"/>
    <s v="Employee Benefits (EB)"/>
    <m/>
    <x v="4"/>
    <x v="1"/>
    <s v="S"/>
    <s v="AG00059046000100"/>
    <n v="3347"/>
    <n v="43556"/>
  </r>
  <r>
    <n v="1900003404"/>
    <n v="43755"/>
    <s v="Brokerage"/>
    <s v="Ahmedabad"/>
    <s v="Liability"/>
    <n v="2"/>
    <x v="6"/>
    <x v="2"/>
    <s v="L"/>
    <s v="2999202873309799900"/>
    <n v="60025"/>
    <n v="43654"/>
  </r>
  <r>
    <n v="1900003405"/>
    <n v="43755"/>
    <s v="Brokerage"/>
    <s v="Ahmedabad"/>
    <s v="Marine"/>
    <m/>
    <x v="5"/>
    <x v="1"/>
    <s v="E"/>
    <s v="2412/202063061201000"/>
    <n v="13613"/>
    <n v="43472"/>
  </r>
  <r>
    <n v="1900003406"/>
    <n v="43755"/>
    <s v="Brokerage"/>
    <s v="Ahmedabad"/>
    <s v="Employee Benefits (EB)"/>
    <m/>
    <x v="9"/>
    <x v="0"/>
    <s v="A"/>
    <s v="4101190700000015-00"/>
    <n v="79834"/>
    <n v="43641"/>
  </r>
  <r>
    <n v="1900003407"/>
    <n v="43755"/>
    <s v="Brokerage"/>
    <s v="Ahmedabad"/>
    <s v="Liability"/>
    <n v="2"/>
    <x v="6"/>
    <x v="2"/>
    <s v="L"/>
    <s v="2999202873274200100"/>
    <n v="60025"/>
    <n v="43654"/>
  </r>
  <r>
    <n v="1900003928"/>
    <n v="43781"/>
    <s v="Brokerage"/>
    <s v="Ahmedabad"/>
    <s v="Liability"/>
    <n v="10"/>
    <x v="10"/>
    <x v="2"/>
    <s v="M"/>
    <s v="14055133"/>
    <n v="63000"/>
    <n v="43672"/>
  </r>
  <r>
    <n v="1900003930"/>
    <n v="43781"/>
    <s v="Fees"/>
    <s v="Ahmedabad"/>
    <s v="Construction, Power &amp; Infrastructure"/>
    <n v="2"/>
    <x v="6"/>
    <x v="2"/>
    <s v="P"/>
    <m/>
    <n v="100000"/>
    <n v="43663"/>
  </r>
  <r>
    <n v="1900003931"/>
    <n v="43781"/>
    <s v="Fees"/>
    <s v="Ahmedabad"/>
    <s v="Construction, Power &amp; Infrastructure"/>
    <n v="2"/>
    <x v="6"/>
    <x v="2"/>
    <s v="P"/>
    <m/>
    <n v="100000"/>
    <n v="43486"/>
  </r>
  <r>
    <n v="1900004171"/>
    <n v="43795"/>
    <s v="Fees"/>
    <s v="Ahmedabad"/>
    <s v="Global Client Network (GNB Inward)"/>
    <m/>
    <x v="1"/>
    <x v="1"/>
    <s v="S"/>
    <m/>
    <n v="254336"/>
    <n v="43490"/>
  </r>
  <r>
    <n v="1900004173"/>
    <n v="43795"/>
    <s v="Fees"/>
    <s v="Ahmedabad"/>
    <s v="Global Client Network (GNB Inward)"/>
    <m/>
    <x v="1"/>
    <x v="1"/>
    <s v="G"/>
    <m/>
    <n v="266949"/>
    <n v="43490"/>
  </r>
  <r>
    <n v="1900004220"/>
    <n v="43802"/>
    <s v="Brokerage"/>
    <s v="Ahmedabad"/>
    <s v="Employee Benefits (EB)"/>
    <m/>
    <x v="4"/>
    <x v="1"/>
    <s v="W"/>
    <s v="54445288"/>
    <n v="11111"/>
    <n v="43524"/>
  </r>
  <r>
    <n v="1900004221"/>
    <n v="43802"/>
    <s v="Brokerage"/>
    <s v="Ahmedabad"/>
    <s v="Construction, Power &amp; Infrastructure"/>
    <n v="3"/>
    <x v="7"/>
    <x v="2"/>
    <s v="S"/>
    <s v="99000044190299996000"/>
    <n v="3008"/>
    <n v="43567"/>
  </r>
  <r>
    <n v="1900004376"/>
    <n v="43804"/>
    <s v="Brokerage"/>
    <s v="Ahmedabad"/>
    <s v="Liability"/>
    <n v="3"/>
    <x v="7"/>
    <x v="2"/>
    <s v="G"/>
    <s v="43193940"/>
    <n v="6184"/>
    <n v="43684"/>
  </r>
  <r>
    <n v="1900004378"/>
    <n v="43804"/>
    <s v="Brokerage"/>
    <s v="Ahmedabad"/>
    <s v="Property / BI"/>
    <m/>
    <x v="3"/>
    <x v="0"/>
    <s v="K"/>
    <s v="YB00020403000100"/>
    <n v="1568"/>
    <n v="43504"/>
  </r>
  <r>
    <n v="1900004380"/>
    <n v="43804"/>
    <s v="Brokerage"/>
    <s v="Ahmedabad"/>
    <s v="Employee Benefits (EB)"/>
    <m/>
    <x v="4"/>
    <x v="3"/>
    <s v="S"/>
    <s v="H0048996"/>
    <n v="18901"/>
    <n v="43722"/>
  </r>
  <r>
    <n v="1900004382"/>
    <n v="43804"/>
    <s v="Brokerage"/>
    <s v="Ahmedabad"/>
    <s v="Employee Benefits (EB)"/>
    <m/>
    <x v="4"/>
    <x v="3"/>
    <s v="S"/>
    <s v="H0048996"/>
    <n v="27682"/>
    <n v="43691"/>
  </r>
  <r>
    <n v="1900004383"/>
    <n v="43804"/>
    <s v="Brokerage"/>
    <s v="Ahmedabad"/>
    <s v="Employee Benefits (EB)"/>
    <m/>
    <x v="4"/>
    <x v="3"/>
    <s v="W"/>
    <s v="H0067187"/>
    <n v="5501"/>
    <n v="43759"/>
  </r>
  <r>
    <n v="1900004384"/>
    <n v="43804"/>
    <s v="Brokerage"/>
    <s v="Ahmedabad"/>
    <s v="Employee Benefits (EB)"/>
    <m/>
    <x v="4"/>
    <x v="1"/>
    <s v="P"/>
    <s v="4016 138636598 02 000"/>
    <n v="123750"/>
    <n v="43738"/>
  </r>
  <r>
    <n v="1900004404"/>
    <n v="43805"/>
    <s v="Brokerage"/>
    <s v="Ahmedabad"/>
    <s v="Global Client Network (GNB Inward)"/>
    <m/>
    <x v="1"/>
    <x v="1"/>
    <s v="F"/>
    <s v="OG-20-2202-0425-00000017"/>
    <n v="825"/>
    <n v="43647"/>
  </r>
  <r>
    <n v="1900004408"/>
    <n v="43805"/>
    <s v="Brokerage"/>
    <s v="Ahmedabad"/>
    <s v="Global Client Network (GNB Inward)"/>
    <m/>
    <x v="1"/>
    <x v="1"/>
    <s v="F"/>
    <s v="OG-20-2202-9931-00032558"/>
    <n v="1556"/>
    <n v="43647"/>
  </r>
  <r>
    <n v="1900004411"/>
    <n v="43805"/>
    <s v="Brokerage"/>
    <s v="Ahmedabad"/>
    <s v="Global Client Network (GNB Inward)"/>
    <m/>
    <x v="1"/>
    <x v="1"/>
    <s v="F"/>
    <s v="OG-20-2202-4004-00000064"/>
    <n v="12350"/>
    <n v="43647"/>
  </r>
  <r>
    <n v="1900004474"/>
    <n v="43808"/>
    <s v="Brokerage"/>
    <s v="Ahmedabad"/>
    <s v="Marine"/>
    <n v="3"/>
    <x v="7"/>
    <x v="2"/>
    <s v="N"/>
    <s v="2412 2020 7182 9001 000"/>
    <n v="15593"/>
    <n v="43477"/>
  </r>
  <r>
    <n v="1900004500"/>
    <n v="43808"/>
    <s v="Brokerage"/>
    <s v="Ahmedabad"/>
    <s v="Construction, Power &amp; Infrastructure"/>
    <n v="3"/>
    <x v="7"/>
    <x v="2"/>
    <s v="S"/>
    <s v="990000441903000060"/>
    <n v="2212"/>
    <n v="43565"/>
  </r>
  <r>
    <n v="1900004501"/>
    <n v="43808"/>
    <s v="Brokerage"/>
    <s v="Ahmedabad"/>
    <s v="Employee Benefits (EB)"/>
    <n v="3"/>
    <x v="7"/>
    <x v="2"/>
    <s v="N"/>
    <s v="54522170"/>
    <n v="9056"/>
    <n v="43655"/>
  </r>
  <r>
    <n v="1900004503"/>
    <n v="43809"/>
    <s v="Brokerage"/>
    <s v="Ahmedabad"/>
    <s v="Global Client Network (GNB Inward)"/>
    <m/>
    <x v="1"/>
    <x v="1"/>
    <s v="F"/>
    <s v="OG-20-2202-3304-00000009"/>
    <n v="1897"/>
    <n v="43647"/>
  </r>
  <r>
    <n v="1900004505"/>
    <n v="43809"/>
    <s v="Brokerage"/>
    <s v="Ahmedabad"/>
    <s v="Global Client Network (GNB Inward)"/>
    <m/>
    <x v="1"/>
    <x v="1"/>
    <s v="F"/>
    <s v="OG-20-2202-3383-00000002"/>
    <n v="42500"/>
    <n v="43647"/>
  </r>
  <r>
    <n v="1900004507"/>
    <n v="43809"/>
    <s v="Brokerage"/>
    <s v="Ahmedabad"/>
    <s v="Global Client Network (GNB Inward)"/>
    <m/>
    <x v="1"/>
    <x v="1"/>
    <s v="F"/>
    <s v="OG-20-2202-4002-00000010"/>
    <n v="10917"/>
    <n v="43647"/>
  </r>
  <r>
    <n v="1900004518"/>
    <n v="43809"/>
    <s v="Brokerage"/>
    <s v="Ahmedabad"/>
    <s v="Global Client Network (GNB Inward)"/>
    <m/>
    <x v="1"/>
    <x v="1"/>
    <s v="F"/>
    <s v="OG-20-2202-4010-00000869"/>
    <n v="3375"/>
    <n v="43647"/>
  </r>
  <r>
    <n v="1900004535"/>
    <n v="43809"/>
    <s v="Fees"/>
    <s v="Ahmedabad"/>
    <s v="Global Client Network (GNB Inward)"/>
    <m/>
    <x v="1"/>
    <x v="1"/>
    <s v="P"/>
    <s v="1011/142530053/01/000"/>
    <n v="320175"/>
    <n v="43805"/>
  </r>
  <r>
    <n v="1900004535"/>
    <n v="43809"/>
    <s v="Fees"/>
    <s v="Ahmedabad"/>
    <s v="Global Client Network (GNB Inward)"/>
    <m/>
    <x v="1"/>
    <x v="1"/>
    <s v="P"/>
    <s v="3124201589100599800"/>
    <n v="320175"/>
    <n v="43805"/>
  </r>
  <r>
    <n v="1900004535"/>
    <n v="43809"/>
    <s v="Fees"/>
    <s v="Ahmedabad"/>
    <s v="Global Client Network (GNB Inward)"/>
    <m/>
    <x v="1"/>
    <x v="1"/>
    <s v="P"/>
    <s v="OG-19-2202-1018-00000052"/>
    <n v="320175"/>
    <n v="43805"/>
  </r>
  <r>
    <n v="1900004538"/>
    <n v="43809"/>
    <s v="Fees"/>
    <s v="Ahmedabad"/>
    <s v="Global Client Network (GNB Inward)"/>
    <m/>
    <x v="1"/>
    <x v="1"/>
    <s v="S"/>
    <s v="OG-20-2202-3315-00000009"/>
    <n v="168593"/>
    <n v="43613"/>
  </r>
  <r>
    <n v="1900004538"/>
    <n v="43809"/>
    <s v="Fees"/>
    <s v="Ahmedabad"/>
    <s v="Global Client Network (GNB Inward)"/>
    <m/>
    <x v="1"/>
    <x v="1"/>
    <s v="S"/>
    <s v="P0019200001/9999/100301"/>
    <n v="168593"/>
    <n v="43613"/>
  </r>
  <r>
    <n v="1900004894"/>
    <n v="43818"/>
    <s v="Brokerage"/>
    <s v="Ahmedabad"/>
    <s v="Global Client Network (GNB Inward)"/>
    <m/>
    <x v="1"/>
    <x v="1"/>
    <s v="T"/>
    <s v="43196279"/>
    <n v="2970"/>
    <n v="43730"/>
  </r>
  <r>
    <n v="1900004898"/>
    <n v="43818"/>
    <s v="Brokerage"/>
    <s v="Ahmedabad"/>
    <s v="Global Client Network (GNB Inward)"/>
    <n v="1"/>
    <x v="2"/>
    <x v="2"/>
    <s v="C"/>
    <s v="3114202963360099800"/>
    <n v="7022"/>
    <n v="43703"/>
  </r>
  <r>
    <n v="1900004909"/>
    <n v="43818"/>
    <s v="Brokerage"/>
    <s v="Ahmedabad"/>
    <s v="Global Client Network (GNB Inward)"/>
    <m/>
    <x v="1"/>
    <x v="1"/>
    <s v="G"/>
    <s v="0301004728-2019"/>
    <n v="202350"/>
    <n v="43738"/>
  </r>
  <r>
    <n v="1900004912"/>
    <n v="43818"/>
    <s v="Brokerage"/>
    <s v="Ahmedabad"/>
    <s v="Global Client Network (GNB Inward)"/>
    <n v="1"/>
    <x v="2"/>
    <x v="2"/>
    <s v="G"/>
    <s v="321340020119100000000000"/>
    <n v="87500"/>
    <n v="43677"/>
  </r>
  <r>
    <n v="1900004917"/>
    <n v="43818"/>
    <s v="Brokerage"/>
    <s v="Ahmedabad"/>
    <s v="Global Client Network (GNB Inward)"/>
    <n v="1"/>
    <x v="2"/>
    <x v="2"/>
    <s v="G"/>
    <s v="22515779"/>
    <n v="44260"/>
    <n v="43738"/>
  </r>
  <r>
    <n v="1900004919"/>
    <n v="43818"/>
    <s v="Brokerage"/>
    <s v="Ahmedabad"/>
    <s v="Property / BI"/>
    <m/>
    <x v="9"/>
    <x v="0"/>
    <s v="G"/>
    <s v="99000046190100005000"/>
    <n v="11550"/>
    <n v="43716"/>
  </r>
  <r>
    <n v="1900004920"/>
    <n v="43818"/>
    <s v="Brokerage"/>
    <s v="Ahmedabad"/>
    <s v="Small Medium Enterpries (SME)"/>
    <m/>
    <x v="9"/>
    <x v="0"/>
    <s v="G"/>
    <s v="99000011190300000000"/>
    <n v="43033"/>
    <n v="43716"/>
  </r>
  <r>
    <n v="1900004922"/>
    <n v="43818"/>
    <s v="Brokerage"/>
    <s v="Ahmedabad"/>
    <s v="Property / BI"/>
    <m/>
    <x v="9"/>
    <x v="0"/>
    <s v="G"/>
    <s v="99000046190100005000"/>
    <n v="7700"/>
    <n v="43716"/>
  </r>
  <r>
    <n v="1900004923"/>
    <n v="43818"/>
    <s v="Brokerage"/>
    <s v="Ahmedabad"/>
    <s v="Small Medium Enterpries (SME)"/>
    <m/>
    <x v="9"/>
    <x v="0"/>
    <s v="G"/>
    <s v="99000011190300000000"/>
    <n v="72139"/>
    <n v="43716"/>
  </r>
  <r>
    <n v="1900004928"/>
    <n v="43818"/>
    <s v="Brokerage"/>
    <s v="Ahmedabad"/>
    <s v="Construction, Power &amp; Infrastructure"/>
    <n v="3"/>
    <x v="7"/>
    <x v="2"/>
    <s v="G"/>
    <s v="99000044190299996000"/>
    <n v="32585"/>
    <n v="43719"/>
  </r>
  <r>
    <n v="1900004933"/>
    <n v="43818"/>
    <s v="Brokerage"/>
    <s v="Ahmedabad"/>
    <s v="Construction, Power &amp; Infrastructure"/>
    <n v="3"/>
    <x v="7"/>
    <x v="2"/>
    <s v="G"/>
    <s v="99000044190299996000"/>
    <n v="8045"/>
    <n v="43730"/>
  </r>
  <r>
    <n v="1900004983"/>
    <n v="43818"/>
    <s v="Brokerage"/>
    <s v="Ahmedabad"/>
    <s v="Global Client Network (GNB Inward)"/>
    <m/>
    <x v="1"/>
    <x v="1"/>
    <s v="P"/>
    <s v="0000000010619837-01"/>
    <n v="26968"/>
    <n v="43763"/>
  </r>
  <r>
    <n v="1900004984"/>
    <n v="43818"/>
    <s v="Brokerage"/>
    <s v="Ahmedabad"/>
    <s v="Global Client Network (GNB Inward)"/>
    <m/>
    <x v="1"/>
    <x v="1"/>
    <s v="P"/>
    <s v="0000000007404252-02"/>
    <n v="2437"/>
    <n v="43764"/>
  </r>
  <r>
    <n v="1900004985"/>
    <n v="43818"/>
    <s v="Brokerage"/>
    <s v="Ahmedabad"/>
    <s v="Global Client Network (GNB Inward)"/>
    <m/>
    <x v="1"/>
    <x v="1"/>
    <s v="P"/>
    <s v="OG-19-2202-1018-00000052"/>
    <n v="53278"/>
    <n v="43466"/>
  </r>
  <r>
    <n v="1900004986"/>
    <n v="43818"/>
    <s v="Brokerage"/>
    <s v="Ahmedabad"/>
    <s v="Global Client Network (GNB Inward)"/>
    <m/>
    <x v="1"/>
    <x v="1"/>
    <s v="P"/>
    <s v="OG-19-2202-3383-00000007"/>
    <n v="30048"/>
    <n v="43466"/>
  </r>
  <r>
    <n v="1900004987"/>
    <n v="43818"/>
    <s v="Brokerage"/>
    <s v="Ahmedabad"/>
    <s v="Global Client Network (GNB Inward)"/>
    <m/>
    <x v="1"/>
    <x v="1"/>
    <s v="P"/>
    <s v="3114202997427299800"/>
    <n v="12500"/>
    <n v="43727"/>
  </r>
  <r>
    <n v="1900005036"/>
    <n v="43819"/>
    <s v="Brokerage"/>
    <s v="Ahmedabad"/>
    <s v="Global Client Network (GNB Inward)"/>
    <n v="1"/>
    <x v="2"/>
    <x v="2"/>
    <s v="M"/>
    <s v="ER00004563000100"/>
    <n v="3854"/>
    <n v="43585"/>
  </r>
  <r>
    <n v="1900005300"/>
    <n v="43823"/>
    <s v="Fees"/>
    <s v="Ahmedabad"/>
    <s v="Global Client Network (GNB Inward)"/>
    <m/>
    <x v="1"/>
    <x v="1"/>
    <s v="M"/>
    <s v="304003763"/>
    <n v="132392"/>
    <n v="43819"/>
  </r>
  <r>
    <n v="1900005300"/>
    <n v="43823"/>
    <s v="Fees"/>
    <s v="Ahmedabad"/>
    <s v="Global Client Network (GNB Inward)"/>
    <m/>
    <x v="1"/>
    <x v="1"/>
    <s v="M"/>
    <s v="1003/126704810/02/000"/>
    <n v="132392"/>
    <n v="43819"/>
  </r>
  <r>
    <n v="1900005300"/>
    <n v="43823"/>
    <s v="Fees"/>
    <s v="Ahmedabad"/>
    <s v="Global Client Network (GNB Inward)"/>
    <m/>
    <x v="1"/>
    <x v="1"/>
    <s v="M"/>
    <s v="2414202092813599700"/>
    <n v="132392"/>
    <n v="43819"/>
  </r>
  <r>
    <n v="1900005300"/>
    <n v="43823"/>
    <s v="Fees"/>
    <s v="Ahmedabad"/>
    <s v="Global Client Network (GNB Inward)"/>
    <m/>
    <x v="1"/>
    <x v="1"/>
    <s v="M"/>
    <s v="4092/151965577/01/000"/>
    <n v="132392"/>
    <n v="43819"/>
  </r>
  <r>
    <n v="1900005324"/>
    <n v="43823"/>
    <s v="Brokerage"/>
    <s v="Ahmedabad"/>
    <s v="Construction, Power &amp; Infrastructure"/>
    <n v="3"/>
    <x v="7"/>
    <x v="2"/>
    <s v="S"/>
    <s v="99000044190299996000"/>
    <n v="26805"/>
    <n v="43788"/>
  </r>
  <r>
    <n v="1900005325"/>
    <n v="43823"/>
    <s v="Brokerage"/>
    <s v="Ahmedabad"/>
    <s v="Employee Benefits (EB)"/>
    <m/>
    <x v="3"/>
    <x v="1"/>
    <s v="S"/>
    <s v="43191791"/>
    <n v="956"/>
    <n v="43649"/>
  </r>
  <r>
    <n v="1900005329"/>
    <n v="43823"/>
    <s v="Brokerage"/>
    <s v="Ahmedabad"/>
    <s v="Global Client Network (GNB Inward)"/>
    <n v="1"/>
    <x v="2"/>
    <x v="2"/>
    <s v="A"/>
    <s v="3114202963436199900"/>
    <n v="2089"/>
    <n v="43703"/>
  </r>
  <r>
    <n v="1900005331"/>
    <n v="43823"/>
    <s v="Brokerage"/>
    <s v="Ahmedabad"/>
    <s v="Global Client Network (GNB Inward)"/>
    <m/>
    <x v="1"/>
    <x v="1"/>
    <s v="T"/>
    <s v="OG-20-2202-1005-00000171-2019"/>
    <n v="8580"/>
    <n v="43729"/>
  </r>
  <r>
    <n v="1900005394"/>
    <n v="43824"/>
    <s v="Brokerage"/>
    <s v="Ahmedabad"/>
    <s v="Global Client Network (GNB Inward)"/>
    <m/>
    <x v="1"/>
    <x v="1"/>
    <s v="F"/>
    <s v="OG-20-2202-4004-00000062"/>
    <n v="60713"/>
    <n v="43647"/>
  </r>
  <r>
    <n v="1900005395"/>
    <n v="43824"/>
    <s v="Brokerage"/>
    <s v="Ahmedabad"/>
    <s v="Marine"/>
    <m/>
    <x v="1"/>
    <x v="1"/>
    <s v="G"/>
    <s v="22531899"/>
    <n v="50160"/>
    <n v="43765"/>
  </r>
  <r>
    <n v="1900005396"/>
    <n v="43824"/>
    <s v="Brokerage"/>
    <s v="Ahmedabad"/>
    <s v="Global Client Network (GNB Inward)"/>
    <m/>
    <x v="1"/>
    <x v="3"/>
    <s v="G"/>
    <s v="OG-19-2202-1018-00000047"/>
    <n v="71765"/>
    <n v="43764"/>
  </r>
  <r>
    <n v="1900005439"/>
    <n v="43824"/>
    <s v="Brokerage"/>
    <s v="Ahmedabad"/>
    <s v="Construction, Power &amp; Infrastructure"/>
    <n v="13"/>
    <x v="5"/>
    <x v="2"/>
    <s v="P"/>
    <s v="'99000044180300000048"/>
    <n v="62399"/>
    <n v="43783"/>
  </r>
  <r>
    <n v="1900005516"/>
    <n v="43825"/>
    <s v="Brokerage"/>
    <s v="Ahmedabad"/>
    <s v="Liability"/>
    <n v="10"/>
    <x v="10"/>
    <x v="2"/>
    <s v="O"/>
    <s v="2280014070"/>
    <n v="27530"/>
    <n v="43533"/>
  </r>
  <r>
    <n v="1900005526"/>
    <n v="43825"/>
    <s v="Brokerage"/>
    <s v="Ahmedabad"/>
    <s v="Employee Benefits (EB)"/>
    <m/>
    <x v="4"/>
    <x v="1"/>
    <s v="A"/>
    <s v="180876-0000-01"/>
    <n v="60000"/>
    <n v="43556"/>
  </r>
  <r>
    <n v="1900005527"/>
    <n v="43825"/>
    <s v="Brokerage"/>
    <s v="Ahmedabad"/>
    <s v="Global Client Network (GNB Inward)"/>
    <m/>
    <x v="1"/>
    <x v="1"/>
    <s v="C"/>
    <s v="12030046192480000000"/>
    <n v="77400"/>
    <n v="43687"/>
  </r>
  <r>
    <n v="1900005528"/>
    <n v="43825"/>
    <s v="Brokerage"/>
    <s v="Ahmedabad"/>
    <s v="Global Client Network (GNB Inward)"/>
    <m/>
    <x v="1"/>
    <x v="1"/>
    <s v="C"/>
    <s v="12030046192480000000"/>
    <n v="302812"/>
    <n v="43687"/>
  </r>
  <r>
    <n v="1900005529"/>
    <n v="43825"/>
    <s v="Brokerage"/>
    <s v="Ahmedabad"/>
    <s v="Property / BI"/>
    <m/>
    <x v="5"/>
    <x v="1"/>
    <s v="H"/>
    <s v="'0655001664 03"/>
    <n v="275569"/>
    <n v="43525"/>
  </r>
  <r>
    <n v="1900005530"/>
    <n v="43825"/>
    <s v="Brokerage"/>
    <s v="Ahmedabad"/>
    <s v="Liability"/>
    <m/>
    <x v="5"/>
    <x v="1"/>
    <s v="H"/>
    <s v="'0304001755"/>
    <n v="320000"/>
    <n v="43496"/>
  </r>
  <r>
    <n v="1900005531"/>
    <n v="43825"/>
    <s v="Brokerage"/>
    <s v="Ahmedabad"/>
    <s v="Employee Benefits (EB)"/>
    <m/>
    <x v="4"/>
    <x v="1"/>
    <s v="S"/>
    <s v="3393"/>
    <n v="114752"/>
    <n v="43770"/>
  </r>
  <r>
    <n v="1900005532"/>
    <n v="43825"/>
    <s v="Brokerage"/>
    <s v="Ahmedabad"/>
    <s v="Employee Benefits (EB)"/>
    <m/>
    <x v="4"/>
    <x v="3"/>
    <s v="S"/>
    <s v="H0056637"/>
    <n v="49027"/>
    <n v="43500"/>
  </r>
  <r>
    <n v="1900005555"/>
    <n v="43825"/>
    <s v="Brokerage"/>
    <s v="Ahmedabad"/>
    <s v="Construction, Power &amp; Infrastructure"/>
    <n v="13"/>
    <x v="5"/>
    <x v="2"/>
    <s v="P"/>
    <s v="'99000044180300000078"/>
    <n v="153332"/>
    <n v="43757"/>
  </r>
  <r>
    <n v="1900005760"/>
    <n v="43827"/>
    <s v="Brokerage"/>
    <s v="Ahmedabad"/>
    <s v="Marine"/>
    <m/>
    <x v="9"/>
    <x v="0"/>
    <s v="ABC"/>
    <s v="2414202781173700100"/>
    <n v="23591"/>
    <n v="43586"/>
  </r>
  <r>
    <n v="1900005761"/>
    <n v="43827"/>
    <s v="Brokerage"/>
    <s v="Ahmedabad"/>
    <s v="Global Client Network (GNB Inward)"/>
    <m/>
    <x v="1"/>
    <x v="1"/>
    <s v="F"/>
    <s v="OG-20-2202-3315-00000012"/>
    <n v="19181"/>
    <n v="43679"/>
  </r>
  <r>
    <n v="1900005767"/>
    <n v="43827"/>
    <s v="Brokerage"/>
    <s v="Ahmedabad"/>
    <s v="Small Medium Enterpries (SME)"/>
    <m/>
    <x v="9"/>
    <x v="0"/>
    <s v="G"/>
    <s v="23060011180300001000"/>
    <n v="8228"/>
    <n v="43524"/>
  </r>
  <r>
    <n v="1900005768"/>
    <n v="43827"/>
    <s v="Brokerage"/>
    <s v="Ahmedabad"/>
    <s v="Small Medium Enterpries (SME)"/>
    <m/>
    <x v="9"/>
    <x v="3"/>
    <s v="G"/>
    <s v="23060011180300001000"/>
    <n v="5241"/>
    <n v="43658"/>
  </r>
  <r>
    <n v="1900005769"/>
    <n v="43827"/>
    <s v="Brokerage"/>
    <s v="Ahmedabad"/>
    <s v="Small Medium Enterpries (SME)"/>
    <m/>
    <x v="9"/>
    <x v="3"/>
    <s v="G"/>
    <s v="99000046190799995000"/>
    <n v="13154"/>
    <n v="43748"/>
  </r>
  <r>
    <n v="1900005770"/>
    <n v="43827"/>
    <s v="Brokerage"/>
    <s v="Ahmedabad"/>
    <s v="Small Medium Enterpries (SME)"/>
    <m/>
    <x v="9"/>
    <x v="0"/>
    <s v="G"/>
    <s v="99000046190799995000"/>
    <n v="14461"/>
    <n v="43716"/>
  </r>
  <r>
    <n v="1900005771"/>
    <n v="43827"/>
    <s v="Brokerage"/>
    <s v="Ahmedabad"/>
    <s v="Global Client Network (GNB Inward)"/>
    <m/>
    <x v="1"/>
    <x v="1"/>
    <s v="H"/>
    <s v="2019-L0138835-FWC"/>
    <n v="2853"/>
    <n v="43639"/>
  </r>
  <r>
    <n v="1900005772"/>
    <n v="43827"/>
    <s v="Brokerage"/>
    <s v="Ahmedabad"/>
    <s v="Global Client Network (GNB Inward)"/>
    <m/>
    <x v="1"/>
    <x v="1"/>
    <s v="H"/>
    <s v="2019-L0139704-PBL"/>
    <n v="495"/>
    <n v="43639"/>
  </r>
  <r>
    <n v="1900005773"/>
    <n v="43827"/>
    <s v="Brokerage"/>
    <s v="Ahmedabad"/>
    <s v="Global Client Network (GNB Inward)"/>
    <m/>
    <x v="1"/>
    <x v="3"/>
    <s v="H"/>
    <s v="2018-F0513845-BSS"/>
    <n v="5891"/>
    <n v="43500"/>
  </r>
  <r>
    <n v="1900005774"/>
    <n v="43827"/>
    <s v="Brokerage"/>
    <s v="Ahmedabad"/>
    <s v="Property / BI"/>
    <n v="3"/>
    <x v="7"/>
    <x v="2"/>
    <s v="N"/>
    <s v="OG-20-2202-4004-00000043"/>
    <n v="4596"/>
    <n v="43601"/>
  </r>
  <r>
    <n v="1900005775"/>
    <n v="43827"/>
    <s v="Brokerage"/>
    <s v="Ahmedabad"/>
    <s v="Construction, Power &amp; Infrastructure"/>
    <n v="3"/>
    <x v="7"/>
    <x v="2"/>
    <s v="S"/>
    <s v="99000044180300005000"/>
    <n v="21443"/>
    <n v="43649"/>
  </r>
  <r>
    <n v="1900005776"/>
    <n v="43827"/>
    <s v="Brokerage"/>
    <s v="Ahmedabad"/>
    <s v="Construction, Power &amp; Infrastructure"/>
    <n v="3"/>
    <x v="7"/>
    <x v="2"/>
    <s v="S"/>
    <s v="99000044180300005000"/>
    <n v="21442"/>
    <n v="43758"/>
  </r>
  <r>
    <n v="1900005777"/>
    <n v="43827"/>
    <s v="Brokerage"/>
    <s v="Ahmedabad"/>
    <s v="Construction, Power &amp; Infrastructure"/>
    <n v="3"/>
    <x v="7"/>
    <x v="2"/>
    <s v="S"/>
    <s v="99000044180300005000"/>
    <n v="21443"/>
    <n v="43540"/>
  </r>
  <r>
    <n v="1900005778"/>
    <n v="43827"/>
    <s v="Brokerage"/>
    <s v="Ahmedabad"/>
    <s v="Construction, Power &amp; Infrastructure"/>
    <n v="3"/>
    <x v="7"/>
    <x v="2"/>
    <s v="S"/>
    <s v="99000044180300005000"/>
    <n v="17949"/>
    <n v="43649"/>
  </r>
  <r>
    <n v="1900005779"/>
    <n v="43827"/>
    <s v="Brokerage"/>
    <s v="Ahmedabad"/>
    <s v="Construction, Power &amp; Infrastructure"/>
    <n v="3"/>
    <x v="7"/>
    <x v="2"/>
    <s v="S"/>
    <s v="99000044180300005000"/>
    <n v="17949"/>
    <n v="43540"/>
  </r>
  <r>
    <n v="1900005780"/>
    <n v="43827"/>
    <s v="Brokerage"/>
    <s v="Ahmedabad"/>
    <s v="Property / BI"/>
    <m/>
    <x v="3"/>
    <x v="0"/>
    <s v="S"/>
    <s v="PFS/I3353707/71/01/006343"/>
    <n v="7889"/>
    <n v="43477"/>
  </r>
  <r>
    <n v="1900005781"/>
    <n v="43827"/>
    <s v="Brokerage"/>
    <s v="Ahmedabad"/>
    <s v="Liability"/>
    <n v="3"/>
    <x v="7"/>
    <x v="2"/>
    <s v="S"/>
    <s v="3114203125843899900"/>
    <n v="8198"/>
    <n v="43763"/>
  </r>
  <r>
    <n v="1900005782"/>
    <n v="43827"/>
    <s v="Brokerage"/>
    <s v="Ahmedabad"/>
    <s v="Employee Benefits (EB)"/>
    <m/>
    <x v="4"/>
    <x v="3"/>
    <s v="S"/>
    <s v="H0048996"/>
    <n v="18697"/>
    <n v="43535"/>
  </r>
  <r>
    <n v="1900005783"/>
    <n v="43827"/>
    <s v="Brokerage"/>
    <s v="Ahmedabad"/>
    <s v="Employee Benefits (EB)"/>
    <m/>
    <x v="4"/>
    <x v="3"/>
    <s v="S"/>
    <s v="H0048996"/>
    <n v="17140"/>
    <n v="43749"/>
  </r>
  <r>
    <n v="1900005784"/>
    <n v="43827"/>
    <s v="Brokerage"/>
    <s v="Ahmedabad"/>
    <s v="Employee Benefits (EB)"/>
    <m/>
    <x v="4"/>
    <x v="3"/>
    <s v="S"/>
    <s v="H0048996"/>
    <n v="8561"/>
    <n v="43783"/>
  </r>
  <r>
    <n v="1900005785"/>
    <n v="43827"/>
    <s v="Brokerage"/>
    <s v="Ahmedabad"/>
    <s v="Liability"/>
    <m/>
    <x v="3"/>
    <x v="1"/>
    <s v="T"/>
    <s v="43191787"/>
    <n v="6213"/>
    <n v="43649"/>
  </r>
  <r>
    <n v="1900005786"/>
    <n v="43827"/>
    <s v="Brokerage"/>
    <s v="Ahmedabad"/>
    <s v="Global Client Network (GNB Inward)"/>
    <m/>
    <x v="1"/>
    <x v="1"/>
    <s v="T"/>
    <s v="OG-20-2202-4097-00000201"/>
    <n v="8625"/>
    <n v="43729"/>
  </r>
  <r>
    <n v="1900005787"/>
    <n v="43827"/>
    <s v="Brokerage"/>
    <s v="Ahmedabad"/>
    <s v="Global Client Network (GNB Inward)"/>
    <m/>
    <x v="1"/>
    <x v="1"/>
    <s v="T"/>
    <s v="OG-20-2202-4097-00000170"/>
    <n v="4579"/>
    <n v="43729"/>
  </r>
  <r>
    <n v="1900005788"/>
    <n v="43827"/>
    <s v="Brokerage"/>
    <s v="Ahmedabad"/>
    <s v="Global Client Network (GNB Inward)"/>
    <m/>
    <x v="1"/>
    <x v="3"/>
    <s v="T"/>
    <s v="OG-19-2202-1005-00000153"/>
    <n v="1980"/>
    <n v="43630"/>
  </r>
  <r>
    <n v="1900005789"/>
    <n v="43827"/>
    <s v="Brokerage"/>
    <s v="Ahmedabad"/>
    <s v="Global Client Network (GNB Inward)"/>
    <m/>
    <x v="1"/>
    <x v="1"/>
    <s v="T"/>
    <s v="OG-20-2202-4097-00000171"/>
    <n v="3330"/>
    <n v="43729"/>
  </r>
  <r>
    <n v="1900005910"/>
    <n v="43830"/>
    <s v="Brokerage"/>
    <s v="Ahmedabad"/>
    <s v="Construction, Power &amp; Infrastructure"/>
    <n v="2"/>
    <x v="6"/>
    <x v="2"/>
    <s v="P"/>
    <s v="'99000044180300000047"/>
    <n v="90282"/>
    <n v="43523"/>
  </r>
  <r>
    <n v="1900005911"/>
    <n v="43830"/>
    <s v="Brokerage"/>
    <s v="Ahmedabad"/>
    <s v="Construction, Power &amp; Infrastructure"/>
    <n v="13"/>
    <x v="5"/>
    <x v="2"/>
    <s v="P"/>
    <s v="'99000044180300000048"/>
    <n v="68639"/>
    <n v="43599"/>
  </r>
  <r>
    <n v="1900005912"/>
    <n v="43830"/>
    <s v="Brokerage"/>
    <s v="Ahmedabad"/>
    <s v="Construction, Power &amp; Infrastructure"/>
    <n v="2"/>
    <x v="6"/>
    <x v="2"/>
    <s v="P"/>
    <s v="'99000044180300000047"/>
    <n v="90282"/>
    <n v="43704"/>
  </r>
  <r>
    <n v="1900005913"/>
    <n v="43830"/>
    <s v="Brokerage"/>
    <s v="Ahmedabad"/>
    <s v="Construction, Power &amp; Infrastructure"/>
    <n v="2"/>
    <x v="6"/>
    <x v="2"/>
    <s v="P"/>
    <s v="'99000044180300000047"/>
    <n v="90282"/>
    <n v="43612"/>
  </r>
  <r>
    <n v="1900005915"/>
    <n v="43830"/>
    <s v="Brokerage"/>
    <s v="Ahmedabad"/>
    <s v="Construction, Power &amp; Infrastructure"/>
    <n v="13"/>
    <x v="5"/>
    <x v="2"/>
    <s v="P"/>
    <s v="'99000044180300000076"/>
    <n v="67102"/>
    <n v="43551"/>
  </r>
  <r>
    <n v="1900005959"/>
    <n v="43830"/>
    <s v="Brokerage"/>
    <s v="Ahmedabad"/>
    <s v="Liability"/>
    <m/>
    <x v="5"/>
    <x v="1"/>
    <s v="H"/>
    <s v="'0300004329"/>
    <n v="125000"/>
    <n v="43496"/>
  </r>
  <r>
    <n v="1900005960"/>
    <n v="43830"/>
    <s v="Brokerage"/>
    <s v="Ahmedabad"/>
    <s v="Trade Credit &amp;amp; Political Risk"/>
    <m/>
    <x v="8"/>
    <x v="1"/>
    <s v="M"/>
    <s v="TBA"/>
    <n v="115781"/>
    <n v="43674"/>
  </r>
  <r>
    <n v="1900005961"/>
    <n v="43830"/>
    <s v="Brokerage"/>
    <s v="Ahmedabad"/>
    <s v="Liability"/>
    <m/>
    <x v="5"/>
    <x v="1"/>
    <s v="C"/>
    <s v="'23060036180200000022"/>
    <n v="137500"/>
    <n v="43466"/>
  </r>
  <r>
    <n v="1900005962"/>
    <n v="43830"/>
    <s v="Brokerage"/>
    <s v="Ahmedabad"/>
    <s v="Construction, Power &amp; Infrastructure"/>
    <n v="2"/>
    <x v="6"/>
    <x v="2"/>
    <s v="P"/>
    <s v="'99000044180300000078"/>
    <n v="208093"/>
    <n v="43549"/>
  </r>
  <r>
    <n v="1900005964"/>
    <n v="43830"/>
    <s v="Brokerage"/>
    <s v="Ahmedabad"/>
    <s v="Construction, Power &amp; Infrastructure"/>
    <n v="2"/>
    <x v="6"/>
    <x v="2"/>
    <s v="P"/>
    <s v="'99000044180300000078"/>
    <n v="153332"/>
    <n v="43653"/>
  </r>
  <r>
    <n v="1900005965"/>
    <n v="43830"/>
    <s v="Brokerage"/>
    <s v="Ahmedabad"/>
    <s v="Liability"/>
    <m/>
    <x v="5"/>
    <x v="1"/>
    <s v="C"/>
    <s v="'91000036191700000002"/>
    <n v="131250"/>
    <n v="43608"/>
  </r>
  <r>
    <n v="2000001072"/>
    <n v="43833"/>
    <s v="Brokerage"/>
    <s v="Ahmedabad"/>
    <s v="Marine"/>
    <m/>
    <x v="9"/>
    <x v="3"/>
    <s v="S"/>
    <s v="2414202562903399900"/>
    <n v="56100"/>
    <n v="43532"/>
  </r>
  <r>
    <n v="2000001076"/>
    <n v="43833"/>
    <s v="Brokerage"/>
    <s v="Ahmedabad"/>
    <s v="Marine"/>
    <m/>
    <x v="5"/>
    <x v="1"/>
    <s v="H"/>
    <s v="0830016972 02"/>
    <n v="50333"/>
    <n v="43525"/>
  </r>
  <r>
    <n v="2000001082"/>
    <n v="43833"/>
    <s v="Brokerage"/>
    <s v="Ahmedabad"/>
    <s v="Liability"/>
    <m/>
    <x v="5"/>
    <x v="1"/>
    <s v="T"/>
    <s v="41046110"/>
    <n v="74250"/>
    <n v="43564"/>
  </r>
  <r>
    <n v="2000001083"/>
    <n v="43833"/>
    <s v="Brokerage"/>
    <s v="Ahmedabad"/>
    <s v="Employee Benefits (EB)"/>
    <m/>
    <x v="3"/>
    <x v="1"/>
    <s v="N"/>
    <s v="4101191100000008-00"/>
    <n v="48929"/>
    <n v="43779"/>
  </r>
  <r>
    <n v="2000001086"/>
    <n v="43833"/>
    <s v="Brokerage"/>
    <s v="Ahmedabad"/>
    <s v="Global Client Network (GNB Inward)"/>
    <n v="1"/>
    <x v="2"/>
    <x v="2"/>
    <s v="P"/>
    <s v="11120044180800000000"/>
    <n v="49401"/>
    <n v="43468"/>
  </r>
  <r>
    <n v="2000001563"/>
    <n v="43846"/>
    <s v="Brokerage"/>
    <s v="Ahmedabad"/>
    <s v="Marine"/>
    <m/>
    <x v="3"/>
    <x v="0"/>
    <s v="S"/>
    <s v="MCO/I3350570/71/01/006343"/>
    <n v="9075"/>
    <n v="43477"/>
  </r>
  <r>
    <n v="2000001567"/>
    <n v="43846"/>
    <s v="Brokerage"/>
    <s v="Ahmedabad"/>
    <s v="Construction, Power &amp; Infrastructure"/>
    <n v="13"/>
    <x v="5"/>
    <x v="2"/>
    <s v="M"/>
    <s v="'11120044180300000011"/>
    <n v="24072"/>
    <n v="43537"/>
  </r>
  <r>
    <n v="2000001570"/>
    <n v="43846"/>
    <s v="Brokerage"/>
    <s v="Ahmedabad"/>
    <s v="Employee Benefits (EB)"/>
    <m/>
    <x v="4"/>
    <x v="1"/>
    <s v="T"/>
    <s v="LPGPA0000000200/01"/>
    <n v="5550"/>
    <n v="43469"/>
  </r>
  <r>
    <n v="2000001575"/>
    <n v="43846"/>
    <s v="Brokerage"/>
    <s v="Ahmedabad"/>
    <s v="Property / BI"/>
    <n v="13"/>
    <x v="5"/>
    <x v="2"/>
    <s v="P"/>
    <s v="'99000046192400000039"/>
    <n v="10938"/>
    <n v="43628"/>
  </r>
  <r>
    <n v="2000001579"/>
    <n v="43846"/>
    <s v="Brokerage"/>
    <s v="Ahmedabad"/>
    <s v="Emerging Corporates Group (ECG)"/>
    <n v="3"/>
    <x v="7"/>
    <x v="2"/>
    <s v="S"/>
    <s v="2280038722"/>
    <n v="2789"/>
    <n v="43661"/>
  </r>
  <r>
    <n v="2000001583"/>
    <n v="43846"/>
    <s v="Brokerage"/>
    <s v="Ahmedabad"/>
    <s v="Marine"/>
    <m/>
    <x v="9"/>
    <x v="3"/>
    <s v="S"/>
    <s v="2414202562903399900"/>
    <n v="14025"/>
    <n v="43760"/>
  </r>
  <r>
    <n v="2000001589"/>
    <n v="43846"/>
    <s v="Brokerage"/>
    <s v="Ahmedabad"/>
    <s v="Global Client Network (GNB Inward)"/>
    <m/>
    <x v="1"/>
    <x v="1"/>
    <s v="G"/>
    <s v="32099602-01"/>
    <n v="1112"/>
    <n v="43488"/>
  </r>
  <r>
    <n v="2000001598"/>
    <n v="43846"/>
    <s v="Brokerage"/>
    <s v="Ahmedabad"/>
    <s v="Employee Benefits (EB)"/>
    <m/>
    <x v="4"/>
    <x v="1"/>
    <s v="F"/>
    <s v="2999201540802100200"/>
    <n v="4302"/>
    <n v="43770"/>
  </r>
  <r>
    <n v="2000001604"/>
    <n v="43846"/>
    <s v="Brokerage"/>
    <s v="Ahmedabad"/>
    <s v="Liability"/>
    <n v="13"/>
    <x v="5"/>
    <x v="2"/>
    <s v="H"/>
    <s v="'2302003268"/>
    <n v="21875"/>
    <n v="4350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4DBABE4-81FB-4E46-898F-B34334802E1B}" name="PivotTable1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8:B22" firstHeaderRow="1" firstDataRow="1" firstDataCol="1"/>
  <pivotFields count="17">
    <pivotField showAll="0"/>
    <pivotField showAll="0"/>
    <pivotField showAll="0"/>
    <pivotField numFmtId="14" showAll="0"/>
    <pivotField numFmtId="14" showAll="0"/>
    <pivotField showAll="0"/>
    <pivotField showAll="0"/>
    <pivotField showAll="0"/>
    <pivotField showAll="0"/>
    <pivotField showAll="0"/>
    <pivotField axis="axisRow" showAll="0">
      <items count="5">
        <item x="2"/>
        <item x="1"/>
        <item x="0"/>
        <item h="1" x="3"/>
        <item t="default"/>
      </items>
    </pivotField>
    <pivotField dataField="1" showAll="0"/>
    <pivotField showAll="0"/>
    <pivotField showAll="0"/>
    <pivotField showAll="0"/>
    <pivotField showAll="0"/>
    <pivotField numFmtId="14" showAll="0"/>
  </pivotFields>
  <rowFields count="1">
    <field x="10"/>
  </rowFields>
  <rowItems count="4">
    <i>
      <x/>
    </i>
    <i>
      <x v="1"/>
    </i>
    <i>
      <x v="2"/>
    </i>
    <i t="grand">
      <x/>
    </i>
  </rowItems>
  <colItems count="1">
    <i/>
  </colItems>
  <dataFields count="1">
    <dataField name="Sum of Amount" fld="11" baseField="0" baseItem="0"/>
  </dataFields>
  <formats count="6">
    <format dxfId="10">
      <pivotArea type="all" dataOnly="0" outline="0" fieldPosition="0"/>
    </format>
    <format dxfId="9">
      <pivotArea outline="0" collapsedLevelsAreSubtotals="1" fieldPosition="0"/>
    </format>
    <format dxfId="8">
      <pivotArea field="10" type="button" dataOnly="0" labelOnly="1" outline="0" axis="axisRow" fieldPosition="0"/>
    </format>
    <format dxfId="7">
      <pivotArea dataOnly="0" labelOnly="1" fieldPosition="0">
        <references count="1">
          <reference field="10" count="0"/>
        </references>
      </pivotArea>
    </format>
    <format dxfId="6">
      <pivotArea dataOnly="0" labelOnly="1" grandRow="1" outline="0" fieldPosition="0"/>
    </format>
    <format dxfId="5">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1893E68-4957-410E-813C-31C535BE26D0}" name="PivotTable16"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8" firstHeaderRow="1" firstDataRow="1" firstDataCol="1"/>
  <pivotFields count="12">
    <pivotField showAll="0"/>
    <pivotField showAll="0"/>
    <pivotField showAll="0"/>
    <pivotField showAll="0"/>
    <pivotField showAll="0"/>
    <pivotField showAll="0"/>
    <pivotField showAll="0"/>
    <pivotField axis="axisRow" showAll="0">
      <items count="5">
        <item x="2"/>
        <item x="0"/>
        <item x="1"/>
        <item x="3"/>
        <item t="default"/>
      </items>
    </pivotField>
    <pivotField showAll="0"/>
    <pivotField showAll="0"/>
    <pivotField dataField="1" showAll="0"/>
    <pivotField showAll="0"/>
  </pivotFields>
  <rowFields count="1">
    <field x="7"/>
  </rowFields>
  <rowItems count="5">
    <i>
      <x/>
    </i>
    <i>
      <x v="1"/>
    </i>
    <i>
      <x v="2"/>
    </i>
    <i>
      <x v="3"/>
    </i>
    <i t="grand">
      <x/>
    </i>
  </rowItems>
  <colItems count="1">
    <i/>
  </colItems>
  <dataFields count="1">
    <dataField name="Sum of Amount" fld="10" baseField="0" baseItem="0"/>
  </dataFields>
  <formats count="6">
    <format dxfId="16">
      <pivotArea type="all" dataOnly="0" outline="0" fieldPosition="0"/>
    </format>
    <format dxfId="15">
      <pivotArea outline="0" collapsedLevelsAreSubtotals="1" fieldPosition="0"/>
    </format>
    <format dxfId="14">
      <pivotArea field="7" type="button" dataOnly="0" labelOnly="1" outline="0" axis="axisRow" fieldPosition="0"/>
    </format>
    <format dxfId="13">
      <pivotArea dataOnly="0" labelOnly="1" fieldPosition="0">
        <references count="1">
          <reference field="7" count="0"/>
        </references>
      </pivotArea>
    </format>
    <format dxfId="12">
      <pivotArea dataOnly="0" labelOnly="1" grandRow="1" outline="0" fieldPosition="0"/>
    </format>
    <format dxfId="1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6F9B96A-6E06-4FE8-B9A9-5FC553607712}" name="PivotTable15"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1:B15" firstHeaderRow="1" firstDataRow="1" firstDataCol="1"/>
  <pivotFields count="9">
    <pivotField showAll="0"/>
    <pivotField showAll="0"/>
    <pivotField showAll="0"/>
    <pivotField showAll="0"/>
    <pivotField showAll="0"/>
    <pivotField axis="axisRow" showAll="0">
      <items count="4">
        <item x="0"/>
        <item x="2"/>
        <item x="1"/>
        <item t="default"/>
      </items>
    </pivotField>
    <pivotField dataField="1" showAll="0"/>
    <pivotField numFmtId="14" showAll="0"/>
    <pivotField showAll="0"/>
  </pivotFields>
  <rowFields count="1">
    <field x="5"/>
  </rowFields>
  <rowItems count="4">
    <i>
      <x/>
    </i>
    <i>
      <x v="1"/>
    </i>
    <i>
      <x v="2"/>
    </i>
    <i t="grand">
      <x/>
    </i>
  </rowItems>
  <colItems count="1">
    <i/>
  </colItems>
  <dataFields count="1">
    <dataField name="Sum of Amount" fld="6" baseField="0" baseItem="0"/>
  </dataFields>
  <formats count="6">
    <format dxfId="22">
      <pivotArea type="all" dataOnly="0" outline="0" fieldPosition="0"/>
    </format>
    <format dxfId="21">
      <pivotArea outline="0" collapsedLevelsAreSubtotals="1" fieldPosition="0"/>
    </format>
    <format dxfId="20">
      <pivotArea field="5" type="button" dataOnly="0" labelOnly="1" outline="0" axis="axisRow" fieldPosition="0"/>
    </format>
    <format dxfId="19">
      <pivotArea dataOnly="0" labelOnly="1" fieldPosition="0">
        <references count="1">
          <reference field="5" count="0"/>
        </references>
      </pivotArea>
    </format>
    <format dxfId="18">
      <pivotArea dataOnly="0" labelOnly="1" grandRow="1" outline="0" fieldPosition="0"/>
    </format>
    <format dxfId="17">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F08A732-4D75-433F-B3E9-93546FEB71DD}" name="PivotTable1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19:G20" firstHeaderRow="0" firstDataRow="1" firstDataCol="0" rowPageCount="3" colPageCount="1"/>
  <pivotFields count="7">
    <pivotField showAll="0"/>
    <pivotField showAll="0"/>
    <pivotField showAll="0"/>
    <pivotField showAll="0"/>
    <pivotField axis="axisPage" dataField="1" showAll="0">
      <items count="12">
        <item x="9"/>
        <item x="8"/>
        <item x="1"/>
        <item x="6"/>
        <item x="3"/>
        <item x="4"/>
        <item x="2"/>
        <item x="5"/>
        <item x="7"/>
        <item x="0"/>
        <item x="10"/>
        <item t="default"/>
      </items>
    </pivotField>
    <pivotField axis="axisPage" dataField="1" showAll="0">
      <items count="12">
        <item x="8"/>
        <item x="1"/>
        <item x="5"/>
        <item x="0"/>
        <item x="3"/>
        <item x="7"/>
        <item x="9"/>
        <item x="6"/>
        <item x="4"/>
        <item x="2"/>
        <item x="10"/>
        <item t="default"/>
      </items>
    </pivotField>
    <pivotField axis="axisPage" dataField="1" showAll="0">
      <items count="11">
        <item x="2"/>
        <item x="7"/>
        <item x="6"/>
        <item x="4"/>
        <item x="3"/>
        <item x="1"/>
        <item x="5"/>
        <item x="0"/>
        <item x="8"/>
        <item x="9"/>
        <item t="default"/>
      </items>
    </pivotField>
  </pivotFields>
  <rowItems count="1">
    <i/>
  </rowItems>
  <colFields count="1">
    <field x="-2"/>
  </colFields>
  <colItems count="3">
    <i>
      <x/>
    </i>
    <i i="1">
      <x v="1"/>
    </i>
    <i i="2">
      <x v="2"/>
    </i>
  </colItems>
  <pageFields count="3">
    <pageField fld="4" hier="-1"/>
    <pageField fld="6" hier="-1"/>
    <pageField fld="5" hier="-1"/>
  </pageFields>
  <dataFields count="3">
    <dataField name="Sum of New Budget" fld="4" baseField="0" baseItem="0"/>
    <dataField name="Sum of Cross sell bugdet" fld="5" baseField="0" baseItem="0"/>
    <dataField name="Sum of Renewal Budget" fld="6" baseField="0" baseItem="0"/>
  </dataFields>
  <formats count="3">
    <format dxfId="25">
      <pivotArea type="all" dataOnly="0" outline="0" fieldPosition="0"/>
    </format>
    <format dxfId="24">
      <pivotArea outline="0" collapsedLevelsAreSubtotals="1" fieldPosition="0"/>
    </format>
    <format dxfId="23">
      <pivotArea dataOnly="0" labelOnly="1" outline="0" fieldPosition="0">
        <references count="1">
          <reference field="4294967294" count="3">
            <x v="0"/>
            <x v="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360F4B6-AFE6-46B0-9423-3438A305258F}"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B4:G17" firstHeaderRow="1" firstDataRow="2" firstDataCol="1"/>
  <pivotFields count="36">
    <pivotField showAll="0"/>
    <pivotField showAll="0"/>
    <pivotField showAll="0">
      <items count="4">
        <item x="0"/>
        <item x="1"/>
        <item x="2"/>
        <item t="default"/>
      </items>
    </pivotField>
    <pivotField showAll="0"/>
    <pivotField showAll="0"/>
    <pivotField showAll="0">
      <items count="9">
        <item x="2"/>
        <item x="6"/>
        <item x="1"/>
        <item x="4"/>
        <item x="0"/>
        <item x="3"/>
        <item x="7"/>
        <item x="5"/>
        <item t="default"/>
      </items>
    </pivotField>
    <pivotField showAll="0"/>
    <pivotField showAll="0">
      <items count="22">
        <item x="11"/>
        <item x="13"/>
        <item x="14"/>
        <item x="17"/>
        <item x="16"/>
        <item x="19"/>
        <item x="15"/>
        <item x="20"/>
        <item x="18"/>
        <item x="12"/>
        <item x="1"/>
        <item x="4"/>
        <item x="8"/>
        <item x="5"/>
        <item x="3"/>
        <item x="2"/>
        <item x="7"/>
        <item x="6"/>
        <item x="9"/>
        <item x="0"/>
        <item x="10"/>
        <item t="default"/>
      </items>
    </pivotField>
    <pivotField showAll="0"/>
    <pivotField showAll="0">
      <items count="11">
        <item x="1"/>
        <item x="8"/>
        <item x="2"/>
        <item x="5"/>
        <item x="3"/>
        <item x="0"/>
        <item x="6"/>
        <item x="4"/>
        <item x="7"/>
        <item x="9"/>
        <item t="default"/>
      </items>
    </pivotField>
    <pivotField axis="axisCol" showAll="0">
      <items count="5">
        <item x="2"/>
        <item x="1"/>
        <item x="0"/>
        <item x="3"/>
        <item t="default"/>
      </items>
    </pivotField>
    <pivotField showAll="0"/>
    <pivotField numFmtId="14" showAll="0"/>
    <pivotField showAll="0"/>
    <pivotField showAll="0"/>
    <pivotField showAll="0"/>
    <pivotField showAll="0"/>
    <pivotField showAll="0"/>
    <pivotField dataField="1" showAll="0"/>
    <pivotField axis="axisRow" showAll="0" sortType="descending">
      <items count="18">
        <item x="7"/>
        <item x="8"/>
        <item x="5"/>
        <item x="2"/>
        <item x="9"/>
        <item x="11"/>
        <item x="1"/>
        <item x="4"/>
        <item x="10"/>
        <item x="6"/>
        <item x="3"/>
        <item h="1" x="0"/>
        <item h="1" x="12"/>
        <item h="1" x="13"/>
        <item h="1" x="14"/>
        <item h="1" x="15"/>
        <item h="1" x="16"/>
        <item t="default"/>
      </items>
      <autoSortScope>
        <pivotArea dataOnly="0" outline="0" fieldPosition="0">
          <references count="1">
            <reference field="4294967294" count="1" selected="0">
              <x v="0"/>
            </reference>
          </references>
        </pivotArea>
      </autoSortScope>
    </pivotField>
    <pivotField showAll="0"/>
    <pivotField showAll="0">
      <items count="15">
        <item x="1"/>
        <item x="2"/>
        <item x="6"/>
        <item x="3"/>
        <item x="7"/>
        <item x="8"/>
        <item x="4"/>
        <item x="5"/>
        <item x="10"/>
        <item x="9"/>
        <item x="11"/>
        <item x="12"/>
        <item x="13"/>
        <item x="0"/>
        <item t="default"/>
      </items>
    </pivotField>
    <pivotField showAll="0"/>
    <pivotField showAll="0"/>
    <pivotField showAll="0">
      <items count="7">
        <item x="2"/>
        <item x="1"/>
        <item x="5"/>
        <item x="4"/>
        <item x="3"/>
        <item x="0"/>
        <item t="default"/>
      </items>
    </pivotField>
    <pivotField showAll="0"/>
    <pivotField showAll="0"/>
    <pivotField showAll="0"/>
    <pivotField showAll="0">
      <items count="5">
        <item x="2"/>
        <item x="3"/>
        <item x="1"/>
        <item x="0"/>
        <item t="default"/>
      </items>
    </pivotField>
    <pivotField showAll="0">
      <items count="3">
        <item x="1"/>
        <item x="0"/>
        <item t="default"/>
      </items>
    </pivotField>
    <pivotField showAll="0">
      <items count="10">
        <item x="7"/>
        <item x="8"/>
        <item x="5"/>
        <item x="1"/>
        <item x="4"/>
        <item x="2"/>
        <item x="6"/>
        <item x="3"/>
        <item x="0"/>
        <item t="default"/>
      </items>
    </pivotField>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9"/>
  </rowFields>
  <rowItems count="12">
    <i>
      <x v="3"/>
    </i>
    <i>
      <x v="2"/>
    </i>
    <i>
      <x v="9"/>
    </i>
    <i>
      <x v="1"/>
    </i>
    <i>
      <x v="10"/>
    </i>
    <i>
      <x v="8"/>
    </i>
    <i>
      <x/>
    </i>
    <i>
      <x v="7"/>
    </i>
    <i>
      <x v="4"/>
    </i>
    <i>
      <x v="5"/>
    </i>
    <i>
      <x v="6"/>
    </i>
    <i t="grand">
      <x/>
    </i>
  </rowItems>
  <colFields count="1">
    <field x="10"/>
  </colFields>
  <colItems count="5">
    <i>
      <x/>
    </i>
    <i>
      <x v="1"/>
    </i>
    <i>
      <x v="2"/>
    </i>
    <i>
      <x v="3"/>
    </i>
    <i t="grand">
      <x/>
    </i>
  </colItems>
  <dataFields count="1">
    <dataField name="Count of invoice_date" fld="18" subtotal="count" baseField="0" baseItem="0"/>
  </dataFields>
  <chartFormats count="10">
    <chartFormat chart="0" format="0" series="1">
      <pivotArea type="data" outline="0" fieldPosition="0">
        <references count="2">
          <reference field="4294967294" count="1" selected="0">
            <x v="0"/>
          </reference>
          <reference field="10" count="1" selected="0">
            <x v="0"/>
          </reference>
        </references>
      </pivotArea>
    </chartFormat>
    <chartFormat chart="0" format="1" series="1">
      <pivotArea type="data" outline="0" fieldPosition="0">
        <references count="2">
          <reference field="4294967294" count="1" selected="0">
            <x v="0"/>
          </reference>
          <reference field="10" count="1" selected="0">
            <x v="1"/>
          </reference>
        </references>
      </pivotArea>
    </chartFormat>
    <chartFormat chart="0" format="2" series="1">
      <pivotArea type="data" outline="0" fieldPosition="0">
        <references count="2">
          <reference field="4294967294" count="1" selected="0">
            <x v="0"/>
          </reference>
          <reference field="10" count="1" selected="0">
            <x v="2"/>
          </reference>
        </references>
      </pivotArea>
    </chartFormat>
    <chartFormat chart="0" format="3" series="1">
      <pivotArea type="data" outline="0" fieldPosition="0">
        <references count="2">
          <reference field="4294967294" count="1" selected="0">
            <x v="0"/>
          </reference>
          <reference field="10" count="1" selected="0">
            <x v="3"/>
          </reference>
        </references>
      </pivotArea>
    </chartFormat>
    <chartFormat chart="3" format="8" series="1">
      <pivotArea type="data" outline="0" fieldPosition="0">
        <references count="2">
          <reference field="4294967294" count="1" selected="0">
            <x v="0"/>
          </reference>
          <reference field="10" count="1" selected="0">
            <x v="0"/>
          </reference>
        </references>
      </pivotArea>
    </chartFormat>
    <chartFormat chart="3" format="9" series="1">
      <pivotArea type="data" outline="0" fieldPosition="0">
        <references count="2">
          <reference field="4294967294" count="1" selected="0">
            <x v="0"/>
          </reference>
          <reference field="10" count="1" selected="0">
            <x v="1"/>
          </reference>
        </references>
      </pivotArea>
    </chartFormat>
    <chartFormat chart="3" format="10" series="1">
      <pivotArea type="data" outline="0" fieldPosition="0">
        <references count="2">
          <reference field="4294967294" count="1" selected="0">
            <x v="0"/>
          </reference>
          <reference field="10" count="1" selected="0">
            <x v="2"/>
          </reference>
        </references>
      </pivotArea>
    </chartFormat>
    <chartFormat chart="3" format="11" series="1">
      <pivotArea type="data" outline="0" fieldPosition="0">
        <references count="2">
          <reference field="4294967294" count="1" selected="0">
            <x v="0"/>
          </reference>
          <reference field="10" count="1" selected="0">
            <x v="3"/>
          </reference>
        </references>
      </pivotArea>
    </chartFormat>
    <chartFormat chart="3" format="12" series="1">
      <pivotArea type="data" outline="0" fieldPosition="0">
        <references count="1">
          <reference field="4294967294" count="1" selected="0">
            <x v="0"/>
          </reference>
        </references>
      </pivotArea>
    </chartFormat>
    <chartFormat chart="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BC92B54-D857-4676-8B80-55CF55A7E2DD}" name="PivotTable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B4:C14" firstHeaderRow="1" firstDataRow="1" firstDataCol="1"/>
  <pivotFields count="36">
    <pivotField showAll="0"/>
    <pivotField showAll="0"/>
    <pivotField showAll="0">
      <items count="4">
        <item x="0"/>
        <item x="1"/>
        <item x="2"/>
        <item t="default"/>
      </items>
    </pivotField>
    <pivotField showAll="0"/>
    <pivotField showAll="0"/>
    <pivotField showAll="0"/>
    <pivotField showAll="0"/>
    <pivotField showAll="0"/>
    <pivotField showAll="0"/>
    <pivotField showAll="0">
      <items count="11">
        <item x="1"/>
        <item x="8"/>
        <item x="2"/>
        <item x="5"/>
        <item x="3"/>
        <item x="0"/>
        <item x="6"/>
        <item x="4"/>
        <item x="7"/>
        <item x="9"/>
        <item t="default"/>
      </items>
    </pivotField>
    <pivotField showAll="0">
      <items count="5">
        <item x="2"/>
        <item x="1"/>
        <item x="0"/>
        <item x="3"/>
        <item t="default"/>
      </items>
    </pivotField>
    <pivotField showAll="0"/>
    <pivotField numFmtId="14" showAll="0"/>
    <pivotField showAll="0"/>
    <pivotField showAll="0"/>
    <pivotField showAll="0"/>
    <pivotField showAll="0"/>
    <pivotField showAll="0"/>
    <pivotField showAll="0"/>
    <pivotField axis="axisRow" showAll="0" sortType="ascending">
      <items count="18">
        <item x="7"/>
        <item x="8"/>
        <item h="1" x="5"/>
        <item h="1" x="2"/>
        <item h="1" x="9"/>
        <item x="13"/>
        <item x="12"/>
        <item x="15"/>
        <item x="11"/>
        <item h="1" x="1"/>
        <item x="16"/>
        <item x="14"/>
        <item h="1" x="4"/>
        <item h="1" x="10"/>
        <item h="1" x="6"/>
        <item x="3"/>
        <item h="1" x="0"/>
        <item t="default"/>
      </items>
      <autoSortScope>
        <pivotArea dataOnly="0" outline="0" fieldPosition="0">
          <references count="1">
            <reference field="4294967294" count="1" selected="0">
              <x v="0"/>
            </reference>
          </references>
        </pivotArea>
      </autoSortScope>
    </pivotField>
    <pivotField showAll="0"/>
    <pivotField dataField="1" showAll="0">
      <items count="15">
        <item x="1"/>
        <item x="2"/>
        <item x="6"/>
        <item x="3"/>
        <item x="7"/>
        <item x="8"/>
        <item x="4"/>
        <item x="5"/>
        <item x="10"/>
        <item x="9"/>
        <item x="11"/>
        <item x="12"/>
        <item x="13"/>
        <item x="0"/>
        <item t="default"/>
      </items>
    </pivotField>
    <pivotField showAll="0"/>
    <pivotField showAll="0"/>
    <pivotField showAll="0"/>
    <pivotField showAll="0"/>
    <pivotField showAll="0"/>
    <pivotField showAll="0"/>
    <pivotField showAll="0"/>
    <pivotField showAll="0"/>
    <pivotField showAll="0">
      <items count="10">
        <item x="7"/>
        <item x="8"/>
        <item x="5"/>
        <item x="1"/>
        <item x="4"/>
        <item x="2"/>
        <item x="6"/>
        <item x="3"/>
        <item x="0"/>
        <item t="default"/>
      </items>
    </pivotField>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9"/>
  </rowFields>
  <rowItems count="10">
    <i>
      <x v="10"/>
    </i>
    <i>
      <x v="8"/>
    </i>
    <i>
      <x v="7"/>
    </i>
    <i>
      <x v="5"/>
    </i>
    <i>
      <x v="1"/>
    </i>
    <i>
      <x v="6"/>
    </i>
    <i>
      <x v="11"/>
    </i>
    <i>
      <x v="15"/>
    </i>
    <i>
      <x/>
    </i>
    <i t="grand">
      <x/>
    </i>
  </rowItems>
  <colItems count="1">
    <i/>
  </colItems>
  <dataFields count="1">
    <dataField name="Count of meeting_date" fld="21"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46E1E3A-41FB-4B02-87B9-7B1629C31C5C}" name="PivotTable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location ref="A1:B9" firstHeaderRow="1" firstDataRow="1" firstDataCol="1"/>
  <pivotFields count="36">
    <pivotField showAll="0"/>
    <pivotField showAll="0"/>
    <pivotField showAll="0">
      <items count="4">
        <item x="0"/>
        <item x="1"/>
        <item x="2"/>
        <item t="default"/>
      </items>
    </pivotField>
    <pivotField showAll="0"/>
    <pivotField showAll="0"/>
    <pivotField axis="axisRow" showAll="0">
      <items count="9">
        <item x="2"/>
        <item x="6"/>
        <item x="1"/>
        <item x="4"/>
        <item x="0"/>
        <item x="3"/>
        <item x="7"/>
        <item h="1" x="5"/>
        <item t="default"/>
      </items>
    </pivotField>
    <pivotField showAll="0"/>
    <pivotField showAll="0"/>
    <pivotField showAll="0"/>
    <pivotField showAll="0">
      <items count="11">
        <item x="1"/>
        <item x="8"/>
        <item x="2"/>
        <item x="5"/>
        <item x="3"/>
        <item x="0"/>
        <item x="6"/>
        <item x="4"/>
        <item x="7"/>
        <item x="9"/>
        <item t="default"/>
      </items>
    </pivotField>
    <pivotField showAll="0">
      <items count="5">
        <item x="2"/>
        <item x="1"/>
        <item x="0"/>
        <item x="3"/>
        <item t="default"/>
      </items>
    </pivotField>
    <pivotField showAll="0"/>
    <pivotField showAll="0"/>
    <pivotField showAll="0"/>
    <pivotField showAll="0"/>
    <pivotField showAll="0"/>
    <pivotField showAll="0"/>
    <pivotField showAll="0"/>
    <pivotField showAll="0"/>
    <pivotField showAll="0"/>
    <pivotField showAll="0"/>
    <pivotField showAll="0">
      <items count="15">
        <item x="1"/>
        <item x="2"/>
        <item x="6"/>
        <item x="3"/>
        <item x="7"/>
        <item x="8"/>
        <item x="4"/>
        <item x="5"/>
        <item x="10"/>
        <item x="9"/>
        <item x="11"/>
        <item x="12"/>
        <item x="13"/>
        <item x="0"/>
        <item t="default"/>
      </items>
    </pivotField>
    <pivotField dataField="1" showAll="0"/>
    <pivotField showAll="0"/>
    <pivotField showAll="0"/>
    <pivotField showAll="0"/>
    <pivotField showAll="0"/>
    <pivotField showAll="0"/>
    <pivotField showAll="0">
      <items count="5">
        <item x="2"/>
        <item x="3"/>
        <item x="1"/>
        <item x="0"/>
        <item t="default"/>
      </items>
    </pivotField>
    <pivotField showAll="0"/>
    <pivotField showAll="0">
      <items count="10">
        <item x="7"/>
        <item x="8"/>
        <item x="5"/>
        <item x="1"/>
        <item x="4"/>
        <item x="2"/>
        <item x="6"/>
        <item x="3"/>
        <item x="0"/>
        <item t="default"/>
      </items>
    </pivotField>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5"/>
  </rowFields>
  <rowItems count="8">
    <i>
      <x/>
    </i>
    <i>
      <x v="1"/>
    </i>
    <i>
      <x v="2"/>
    </i>
    <i>
      <x v="3"/>
    </i>
    <i>
      <x v="4"/>
    </i>
    <i>
      <x v="5"/>
    </i>
    <i>
      <x v="6"/>
    </i>
    <i t="grand">
      <x/>
    </i>
  </rowItems>
  <colItems count="1">
    <i/>
  </colItems>
  <dataFields count="1">
    <dataField name="Count of opportunity_name" fld="22" subtotal="count" baseField="0" baseItem="0"/>
  </dataFields>
  <chartFormats count="16">
    <chartFormat chart="3" format="0" series="1">
      <pivotArea type="data" outline="0" fieldPosition="0">
        <references count="1">
          <reference field="4294967294" count="1" selected="0">
            <x v="0"/>
          </reference>
        </references>
      </pivotArea>
    </chartFormat>
    <chartFormat chart="6" format="9" series="1">
      <pivotArea type="data" outline="0" fieldPosition="0">
        <references count="1">
          <reference field="4294967294" count="1" selected="0">
            <x v="0"/>
          </reference>
        </references>
      </pivotArea>
    </chartFormat>
    <chartFormat chart="6" format="10">
      <pivotArea type="data" outline="0" fieldPosition="0">
        <references count="2">
          <reference field="4294967294" count="1" selected="0">
            <x v="0"/>
          </reference>
          <reference field="5" count="1" selected="0">
            <x v="0"/>
          </reference>
        </references>
      </pivotArea>
    </chartFormat>
    <chartFormat chart="6" format="11">
      <pivotArea type="data" outline="0" fieldPosition="0">
        <references count="2">
          <reference field="4294967294" count="1" selected="0">
            <x v="0"/>
          </reference>
          <reference field="5" count="1" selected="0">
            <x v="1"/>
          </reference>
        </references>
      </pivotArea>
    </chartFormat>
    <chartFormat chart="6" format="12">
      <pivotArea type="data" outline="0" fieldPosition="0">
        <references count="2">
          <reference field="4294967294" count="1" selected="0">
            <x v="0"/>
          </reference>
          <reference field="5" count="1" selected="0">
            <x v="2"/>
          </reference>
        </references>
      </pivotArea>
    </chartFormat>
    <chartFormat chart="6" format="13">
      <pivotArea type="data" outline="0" fieldPosition="0">
        <references count="2">
          <reference field="4294967294" count="1" selected="0">
            <x v="0"/>
          </reference>
          <reference field="5" count="1" selected="0">
            <x v="3"/>
          </reference>
        </references>
      </pivotArea>
    </chartFormat>
    <chartFormat chart="6" format="14">
      <pivotArea type="data" outline="0" fieldPosition="0">
        <references count="2">
          <reference field="4294967294" count="1" selected="0">
            <x v="0"/>
          </reference>
          <reference field="5" count="1" selected="0">
            <x v="4"/>
          </reference>
        </references>
      </pivotArea>
    </chartFormat>
    <chartFormat chart="6" format="15">
      <pivotArea type="data" outline="0" fieldPosition="0">
        <references count="2">
          <reference field="4294967294" count="1" selected="0">
            <x v="0"/>
          </reference>
          <reference field="5" count="1" selected="0">
            <x v="5"/>
          </reference>
        </references>
      </pivotArea>
    </chartFormat>
    <chartFormat chart="6" format="16">
      <pivotArea type="data" outline="0" fieldPosition="0">
        <references count="2">
          <reference field="4294967294" count="1" selected="0">
            <x v="0"/>
          </reference>
          <reference field="5" count="1" selected="0">
            <x v="6"/>
          </reference>
        </references>
      </pivotArea>
    </chartFormat>
    <chartFormat chart="3" format="1">
      <pivotArea type="data" outline="0" fieldPosition="0">
        <references count="2">
          <reference field="4294967294" count="1" selected="0">
            <x v="0"/>
          </reference>
          <reference field="5" count="1" selected="0">
            <x v="0"/>
          </reference>
        </references>
      </pivotArea>
    </chartFormat>
    <chartFormat chart="3" format="2">
      <pivotArea type="data" outline="0" fieldPosition="0">
        <references count="2">
          <reference field="4294967294" count="1" selected="0">
            <x v="0"/>
          </reference>
          <reference field="5" count="1" selected="0">
            <x v="1"/>
          </reference>
        </references>
      </pivotArea>
    </chartFormat>
    <chartFormat chart="3" format="3">
      <pivotArea type="data" outline="0" fieldPosition="0">
        <references count="2">
          <reference field="4294967294" count="1" selected="0">
            <x v="0"/>
          </reference>
          <reference field="5" count="1" selected="0">
            <x v="2"/>
          </reference>
        </references>
      </pivotArea>
    </chartFormat>
    <chartFormat chart="3" format="4">
      <pivotArea type="data" outline="0" fieldPosition="0">
        <references count="2">
          <reference field="4294967294" count="1" selected="0">
            <x v="0"/>
          </reference>
          <reference field="5" count="1" selected="0">
            <x v="3"/>
          </reference>
        </references>
      </pivotArea>
    </chartFormat>
    <chartFormat chart="3" format="5">
      <pivotArea type="data" outline="0" fieldPosition="0">
        <references count="2">
          <reference field="4294967294" count="1" selected="0">
            <x v="0"/>
          </reference>
          <reference field="5" count="1" selected="0">
            <x v="4"/>
          </reference>
        </references>
      </pivotArea>
    </chartFormat>
    <chartFormat chart="3" format="6">
      <pivotArea type="data" outline="0" fieldPosition="0">
        <references count="2">
          <reference field="4294967294" count="1" selected="0">
            <x v="0"/>
          </reference>
          <reference field="5" count="1" selected="0">
            <x v="5"/>
          </reference>
        </references>
      </pivotArea>
    </chartFormat>
    <chartFormat chart="3" format="7">
      <pivotArea type="data" outline="0" fieldPosition="0">
        <references count="2">
          <reference field="4294967294" count="1" selected="0">
            <x v="0"/>
          </reference>
          <reference field="5"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4E1E929-D211-4931-ABAB-213720197A1C}" name="PivotTable6"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A1:B6" firstHeaderRow="1" firstDataRow="1" firstDataCol="1"/>
  <pivotFields count="36">
    <pivotField showAll="0"/>
    <pivotField showAll="0"/>
    <pivotField showAll="0">
      <items count="4">
        <item x="0"/>
        <item x="1"/>
        <item x="2"/>
        <item t="default"/>
      </items>
    </pivotField>
    <pivotField showAll="0"/>
    <pivotField showAll="0"/>
    <pivotField showAll="0"/>
    <pivotField showAll="0"/>
    <pivotField showAll="0"/>
    <pivotField showAll="0"/>
    <pivotField showAll="0">
      <items count="11">
        <item x="1"/>
        <item x="8"/>
        <item x="2"/>
        <item x="5"/>
        <item x="3"/>
        <item x="0"/>
        <item x="6"/>
        <item x="4"/>
        <item x="7"/>
        <item x="9"/>
        <item t="default"/>
      </items>
    </pivotField>
    <pivotField showAll="0">
      <items count="5">
        <item x="2"/>
        <item x="1"/>
        <item x="0"/>
        <item x="3"/>
        <item t="default"/>
      </items>
    </pivotField>
    <pivotField showAll="0"/>
    <pivotField showAll="0"/>
    <pivotField showAll="0"/>
    <pivotField showAll="0"/>
    <pivotField showAll="0"/>
    <pivotField showAll="0"/>
    <pivotField showAll="0"/>
    <pivotField showAll="0"/>
    <pivotField showAll="0">
      <items count="18">
        <item x="7"/>
        <item x="8"/>
        <item x="5"/>
        <item x="2"/>
        <item x="9"/>
        <item x="13"/>
        <item x="12"/>
        <item x="15"/>
        <item x="11"/>
        <item x="1"/>
        <item x="16"/>
        <item x="14"/>
        <item x="4"/>
        <item x="10"/>
        <item x="6"/>
        <item x="3"/>
        <item x="0"/>
        <item t="default"/>
      </items>
    </pivotField>
    <pivotField showAll="0"/>
    <pivotField showAll="0">
      <items count="15">
        <item x="1"/>
        <item x="2"/>
        <item x="6"/>
        <item x="3"/>
        <item x="7"/>
        <item x="8"/>
        <item x="4"/>
        <item x="5"/>
        <item x="10"/>
        <item x="9"/>
        <item x="11"/>
        <item x="12"/>
        <item x="13"/>
        <item x="0"/>
        <item t="default"/>
      </items>
    </pivotField>
    <pivotField axis="axisRow" showAll="0" measureFilter="1" sortType="descending">
      <items count="51">
        <item x="34"/>
        <item x="2"/>
        <item x="36"/>
        <item x="30"/>
        <item x="35"/>
        <item x="3"/>
        <item x="23"/>
        <item x="22"/>
        <item x="31"/>
        <item x="37"/>
        <item x="17"/>
        <item x="14"/>
        <item x="38"/>
        <item x="39"/>
        <item x="21"/>
        <item x="16"/>
        <item x="1"/>
        <item x="46"/>
        <item x="19"/>
        <item x="41"/>
        <item x="13"/>
        <item x="24"/>
        <item x="25"/>
        <item x="43"/>
        <item x="11"/>
        <item x="12"/>
        <item x="4"/>
        <item x="45"/>
        <item x="28"/>
        <item x="15"/>
        <item x="40"/>
        <item x="29"/>
        <item x="27"/>
        <item x="26"/>
        <item x="44"/>
        <item x="47"/>
        <item x="7"/>
        <item x="6"/>
        <item x="5"/>
        <item x="9"/>
        <item x="32"/>
        <item x="48"/>
        <item x="8"/>
        <item x="42"/>
        <item x="18"/>
        <item x="20"/>
        <item x="49"/>
        <item x="10"/>
        <item x="33"/>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pivotField showAll="0">
      <items count="5">
        <item x="2"/>
        <item x="3"/>
        <item x="1"/>
        <item x="0"/>
        <item t="default"/>
      </items>
    </pivotField>
    <pivotField showAll="0"/>
    <pivotField showAll="0">
      <items count="10">
        <item x="7"/>
        <item x="8"/>
        <item x="5"/>
        <item x="1"/>
        <item x="4"/>
        <item x="2"/>
        <item x="6"/>
        <item x="3"/>
        <item x="0"/>
        <item t="default"/>
      </items>
    </pivotField>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22"/>
  </rowFields>
  <rowItems count="5">
    <i>
      <x v="17"/>
    </i>
    <i>
      <x v="16"/>
    </i>
    <i>
      <x v="12"/>
    </i>
    <i>
      <x v="10"/>
    </i>
    <i t="grand">
      <x/>
    </i>
  </rowItems>
  <colItems count="1">
    <i/>
  </colItems>
  <dataFields count="1">
    <dataField name="Sum of revenue_amount" fld="26" baseField="0" baseItem="0"/>
  </dataFields>
  <chartFormats count="17">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22" count="1" selected="0">
            <x v="17"/>
          </reference>
        </references>
      </pivotArea>
    </chartFormat>
    <chartFormat chart="2" format="3">
      <pivotArea type="data" outline="0" fieldPosition="0">
        <references count="2">
          <reference field="4294967294" count="1" selected="0">
            <x v="0"/>
          </reference>
          <reference field="22" count="1" selected="0">
            <x v="16"/>
          </reference>
        </references>
      </pivotArea>
    </chartFormat>
    <chartFormat chart="2" format="4">
      <pivotArea type="data" outline="0" fieldPosition="0">
        <references count="2">
          <reference field="4294967294" count="1" selected="0">
            <x v="0"/>
          </reference>
          <reference field="22" count="1" selected="0">
            <x v="12"/>
          </reference>
        </references>
      </pivotArea>
    </chartFormat>
    <chartFormat chart="2" format="5">
      <pivotArea type="data" outline="0" fieldPosition="0">
        <references count="2">
          <reference field="4294967294" count="1" selected="0">
            <x v="0"/>
          </reference>
          <reference field="22" count="1" selected="0">
            <x v="10"/>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22" count="1" selected="0">
            <x v="17"/>
          </reference>
        </references>
      </pivotArea>
    </chartFormat>
    <chartFormat chart="3" format="8">
      <pivotArea type="data" outline="0" fieldPosition="0">
        <references count="2">
          <reference field="4294967294" count="1" selected="0">
            <x v="0"/>
          </reference>
          <reference field="22" count="1" selected="0">
            <x v="16"/>
          </reference>
        </references>
      </pivotArea>
    </chartFormat>
    <chartFormat chart="3" format="9">
      <pivotArea type="data" outline="0" fieldPosition="0">
        <references count="2">
          <reference field="4294967294" count="1" selected="0">
            <x v="0"/>
          </reference>
          <reference field="22" count="1" selected="0">
            <x v="12"/>
          </reference>
        </references>
      </pivotArea>
    </chartFormat>
    <chartFormat chart="3" format="10">
      <pivotArea type="data" outline="0" fieldPosition="0">
        <references count="2">
          <reference field="4294967294" count="1" selected="0">
            <x v="0"/>
          </reference>
          <reference field="22" count="1" selected="0">
            <x v="10"/>
          </reference>
        </references>
      </pivotArea>
    </chartFormat>
    <chartFormat chart="0" format="1">
      <pivotArea type="data" outline="0" fieldPosition="0">
        <references count="2">
          <reference field="4294967294" count="1" selected="0">
            <x v="0"/>
          </reference>
          <reference field="22" count="1" selected="0">
            <x v="16"/>
          </reference>
        </references>
      </pivotArea>
    </chartFormat>
    <chartFormat chart="0" format="2">
      <pivotArea type="data" outline="0" fieldPosition="0">
        <references count="2">
          <reference field="4294967294" count="1" selected="0">
            <x v="0"/>
          </reference>
          <reference field="22" count="1" selected="0">
            <x v="12"/>
          </reference>
        </references>
      </pivotArea>
    </chartFormat>
    <chartFormat chart="0" format="3">
      <pivotArea type="data" outline="0" fieldPosition="0">
        <references count="2">
          <reference field="4294967294" count="1" selected="0">
            <x v="0"/>
          </reference>
          <reference field="22" count="1" selected="0">
            <x v="10"/>
          </reference>
        </references>
      </pivotArea>
    </chartFormat>
    <chartFormat chart="0" format="4">
      <pivotArea type="data" outline="0" fieldPosition="0">
        <references count="2">
          <reference field="4294967294" count="1" selected="0">
            <x v="0"/>
          </reference>
          <reference field="22" count="1" selected="0">
            <x v="14"/>
          </reference>
        </references>
      </pivotArea>
    </chartFormat>
    <chartFormat chart="0" format="5">
      <pivotArea type="data" outline="0" fieldPosition="0">
        <references count="2">
          <reference field="4294967294" count="1" selected="0">
            <x v="0"/>
          </reference>
          <reference field="22" count="1" selected="0">
            <x v="49"/>
          </reference>
        </references>
      </pivotArea>
    </chartFormat>
    <chartFormat chart="0" format="6">
      <pivotArea type="data" outline="0" fieldPosition="0">
        <references count="2">
          <reference field="4294967294" count="1" selected="0">
            <x v="0"/>
          </reference>
          <reference field="22" count="1" selected="0">
            <x v="17"/>
          </reference>
        </references>
      </pivotArea>
    </chartFormat>
  </chartFormats>
  <pivotTableStyleInfo name="PivotStyleLight16" showRowHeaders="1" showColHeaders="1" showRowStripes="0" showColStripes="0" showLastColumn="1"/>
  <filters count="1">
    <filter fld="22" type="count" evalOrder="-1" id="2" iMeasureFld="0">
      <autoFilter ref="A1">
        <filterColumn colId="0">
          <top10 val="4" filterVal="4"/>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D94D64B-6D11-4D64-90DE-8F3DA75B74A9}" name="PivotTable7"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8">
  <location ref="B2:C8" firstHeaderRow="1" firstDataRow="1" firstDataCol="1"/>
  <pivotFields count="36">
    <pivotField showAll="0"/>
    <pivotField showAll="0">
      <items count="189">
        <item x="152"/>
        <item x="47"/>
        <item x="109"/>
        <item x="131"/>
        <item x="144"/>
        <item x="58"/>
        <item x="75"/>
        <item x="76"/>
        <item x="53"/>
        <item x="177"/>
        <item x="92"/>
        <item x="74"/>
        <item x="73"/>
        <item x="165"/>
        <item x="140"/>
        <item x="111"/>
        <item x="127"/>
        <item x="104"/>
        <item x="110"/>
        <item x="119"/>
        <item x="81"/>
        <item x="68"/>
        <item x="90"/>
        <item x="147"/>
        <item x="184"/>
        <item x="46"/>
        <item x="39"/>
        <item x="118"/>
        <item x="35"/>
        <item x="175"/>
        <item x="154"/>
        <item x="186"/>
        <item x="108"/>
        <item x="106"/>
        <item x="100"/>
        <item x="50"/>
        <item x="128"/>
        <item x="141"/>
        <item x="137"/>
        <item x="164"/>
        <item x="42"/>
        <item x="179"/>
        <item x="149"/>
        <item x="72"/>
        <item x="156"/>
        <item x="133"/>
        <item x="162"/>
        <item x="49"/>
        <item x="132"/>
        <item x="157"/>
        <item x="130"/>
        <item x="135"/>
        <item x="57"/>
        <item x="71"/>
        <item x="134"/>
        <item x="44"/>
        <item x="45"/>
        <item x="38"/>
        <item x="172"/>
        <item x="82"/>
        <item x="129"/>
        <item x="151"/>
        <item x="70"/>
        <item x="83"/>
        <item x="98"/>
        <item x="80"/>
        <item x="150"/>
        <item x="2"/>
        <item x="176"/>
        <item x="14"/>
        <item x="32"/>
        <item x="7"/>
        <item x="10"/>
        <item x="31"/>
        <item x="64"/>
        <item x="139"/>
        <item x="124"/>
        <item x="181"/>
        <item x="22"/>
        <item x="18"/>
        <item x="29"/>
        <item x="148"/>
        <item x="17"/>
        <item x="30"/>
        <item x="160"/>
        <item x="25"/>
        <item x="158"/>
        <item x="159"/>
        <item x="5"/>
        <item x="6"/>
        <item x="187"/>
        <item x="69"/>
        <item x="21"/>
        <item x="3"/>
        <item x="117"/>
        <item x="107"/>
        <item x="13"/>
        <item x="0"/>
        <item x="1"/>
        <item x="96"/>
        <item x="19"/>
        <item x="48"/>
        <item x="20"/>
        <item x="12"/>
        <item x="24"/>
        <item x="33"/>
        <item x="11"/>
        <item x="8"/>
        <item x="185"/>
        <item x="95"/>
        <item x="16"/>
        <item x="101"/>
        <item x="93"/>
        <item x="113"/>
        <item x="91"/>
        <item x="97"/>
        <item x="88"/>
        <item x="102"/>
        <item x="4"/>
        <item x="178"/>
        <item x="27"/>
        <item x="89"/>
        <item x="61"/>
        <item x="9"/>
        <item x="23"/>
        <item x="174"/>
        <item x="78"/>
        <item x="99"/>
        <item x="86"/>
        <item x="55"/>
        <item x="103"/>
        <item x="170"/>
        <item x="146"/>
        <item x="171"/>
        <item x="153"/>
        <item x="85"/>
        <item x="87"/>
        <item x="84"/>
        <item x="63"/>
        <item x="77"/>
        <item x="183"/>
        <item x="105"/>
        <item x="138"/>
        <item x="26"/>
        <item x="43"/>
        <item x="54"/>
        <item x="62"/>
        <item x="182"/>
        <item x="180"/>
        <item x="94"/>
        <item x="28"/>
        <item x="15"/>
        <item x="52"/>
        <item x="51"/>
        <item x="168"/>
        <item x="145"/>
        <item x="125"/>
        <item x="66"/>
        <item x="65"/>
        <item x="79"/>
        <item x="60"/>
        <item x="36"/>
        <item x="136"/>
        <item x="41"/>
        <item x="40"/>
        <item x="37"/>
        <item x="67"/>
        <item x="59"/>
        <item x="114"/>
        <item x="142"/>
        <item x="120"/>
        <item x="126"/>
        <item x="155"/>
        <item x="121"/>
        <item x="122"/>
        <item x="161"/>
        <item x="143"/>
        <item x="116"/>
        <item x="123"/>
        <item x="167"/>
        <item x="169"/>
        <item x="166"/>
        <item x="115"/>
        <item x="56"/>
        <item x="163"/>
        <item x="173"/>
        <item x="112"/>
        <item x="34"/>
        <item t="default"/>
      </items>
    </pivotField>
    <pivotField showAll="0">
      <items count="4">
        <item x="0"/>
        <item x="1"/>
        <item x="2"/>
        <item t="default"/>
      </items>
    </pivotField>
    <pivotField showAll="0"/>
    <pivotField showAll="0"/>
    <pivotField showAll="0"/>
    <pivotField showAll="0"/>
    <pivotField showAll="0"/>
    <pivotField showAll="0"/>
    <pivotField showAll="0">
      <items count="11">
        <item x="1"/>
        <item x="8"/>
        <item x="2"/>
        <item x="5"/>
        <item x="3"/>
        <item x="0"/>
        <item x="6"/>
        <item x="4"/>
        <item x="7"/>
        <item x="9"/>
        <item t="default"/>
      </items>
    </pivotField>
    <pivotField showAll="0">
      <items count="5">
        <item x="2"/>
        <item x="1"/>
        <item x="0"/>
        <item x="3"/>
        <item t="default"/>
      </items>
    </pivotField>
    <pivotField showAll="0"/>
    <pivotField showAll="0"/>
    <pivotField showAll="0">
      <items count="4">
        <item x="0"/>
        <item x="1"/>
        <item x="2"/>
        <item t="default"/>
      </items>
    </pivotField>
    <pivotField showAll="0"/>
    <pivotField showAll="0"/>
    <pivotField showAll="0"/>
    <pivotField showAll="0"/>
    <pivotField showAll="0"/>
    <pivotField showAll="0">
      <items count="18">
        <item x="7"/>
        <item x="8"/>
        <item x="5"/>
        <item x="2"/>
        <item x="9"/>
        <item x="13"/>
        <item x="12"/>
        <item x="15"/>
        <item x="11"/>
        <item x="1"/>
        <item x="16"/>
        <item x="14"/>
        <item x="4"/>
        <item x="10"/>
        <item x="6"/>
        <item x="3"/>
        <item x="0"/>
        <item t="default"/>
      </items>
    </pivotField>
    <pivotField showAll="0"/>
    <pivotField showAll="0">
      <items count="15">
        <item x="1"/>
        <item x="2"/>
        <item x="6"/>
        <item x="3"/>
        <item x="7"/>
        <item x="8"/>
        <item x="4"/>
        <item x="5"/>
        <item x="10"/>
        <item x="9"/>
        <item x="11"/>
        <item x="12"/>
        <item x="13"/>
        <item x="0"/>
        <item t="default"/>
      </items>
    </pivotField>
    <pivotField showAll="0"/>
    <pivotField showAll="0"/>
    <pivotField showAll="0"/>
    <pivotField showAll="0"/>
    <pivotField dataField="1" showAll="0"/>
    <pivotField showAll="0"/>
    <pivotField showAll="0">
      <items count="5">
        <item x="2"/>
        <item x="3"/>
        <item x="1"/>
        <item x="0"/>
        <item t="default"/>
      </items>
    </pivotField>
    <pivotField showAll="0"/>
    <pivotField showAll="0">
      <items count="10">
        <item x="7"/>
        <item x="8"/>
        <item x="5"/>
        <item x="1"/>
        <item x="4"/>
        <item x="2"/>
        <item x="6"/>
        <item x="3"/>
        <item x="0"/>
        <item t="default"/>
      </items>
    </pivotField>
    <pivotField axis="axisRow" showAll="0" measureFilter="1">
      <items count="10">
        <item x="6"/>
        <item x="7"/>
        <item x="4"/>
        <item x="5"/>
        <item x="2"/>
        <item x="1"/>
        <item x="3"/>
        <item x="8"/>
        <item x="0"/>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31"/>
  </rowFields>
  <rowItems count="6">
    <i>
      <x/>
    </i>
    <i>
      <x v="1"/>
    </i>
    <i>
      <x v="4"/>
    </i>
    <i>
      <x v="5"/>
    </i>
    <i>
      <x v="6"/>
    </i>
    <i t="grand">
      <x/>
    </i>
  </rowItems>
  <colItems count="1">
    <i/>
  </colItems>
  <dataFields count="1">
    <dataField name="Sum of revenue_amount" fld="26" baseField="0" baseItem="0"/>
  </dataFields>
  <formats count="1">
    <format dxfId="4">
      <pivotArea outline="0" collapsedLevelsAreSubtotals="1" fieldPosition="0"/>
    </format>
  </formats>
  <chartFormats count="13">
    <chartFormat chart="0" format="7" series="1">
      <pivotArea type="data" outline="0" fieldPosition="0">
        <references count="1">
          <reference field="4294967294" count="1" selected="0">
            <x v="0"/>
          </reference>
        </references>
      </pivotArea>
    </chartFormat>
    <chartFormat chart="7" format="14" series="1">
      <pivotArea type="data" outline="0" fieldPosition="0">
        <references count="1">
          <reference field="4294967294" count="1" selected="0">
            <x v="0"/>
          </reference>
        </references>
      </pivotArea>
    </chartFormat>
    <chartFormat chart="7" format="15">
      <pivotArea type="data" outline="0" fieldPosition="0">
        <references count="2">
          <reference field="4294967294" count="1" selected="0">
            <x v="0"/>
          </reference>
          <reference field="31" count="1" selected="0">
            <x v="0"/>
          </reference>
        </references>
      </pivotArea>
    </chartFormat>
    <chartFormat chart="7" format="16">
      <pivotArea type="data" outline="0" fieldPosition="0">
        <references count="2">
          <reference field="4294967294" count="1" selected="0">
            <x v="0"/>
          </reference>
          <reference field="31" count="1" selected="0">
            <x v="1"/>
          </reference>
        </references>
      </pivotArea>
    </chartFormat>
    <chartFormat chart="7" format="17">
      <pivotArea type="data" outline="0" fieldPosition="0">
        <references count="2">
          <reference field="4294967294" count="1" selected="0">
            <x v="0"/>
          </reference>
          <reference field="31" count="1" selected="0">
            <x v="4"/>
          </reference>
        </references>
      </pivotArea>
    </chartFormat>
    <chartFormat chart="7" format="18">
      <pivotArea type="data" outline="0" fieldPosition="0">
        <references count="2">
          <reference field="4294967294" count="1" selected="0">
            <x v="0"/>
          </reference>
          <reference field="31" count="1" selected="0">
            <x v="5"/>
          </reference>
        </references>
      </pivotArea>
    </chartFormat>
    <chartFormat chart="7" format="19">
      <pivotArea type="data" outline="0" fieldPosition="0">
        <references count="2">
          <reference field="4294967294" count="1" selected="0">
            <x v="0"/>
          </reference>
          <reference field="31" count="1" selected="0">
            <x v="6"/>
          </reference>
        </references>
      </pivotArea>
    </chartFormat>
    <chartFormat chart="0" format="8">
      <pivotArea type="data" outline="0" fieldPosition="0">
        <references count="2">
          <reference field="4294967294" count="1" selected="0">
            <x v="0"/>
          </reference>
          <reference field="31" count="1" selected="0">
            <x v="0"/>
          </reference>
        </references>
      </pivotArea>
    </chartFormat>
    <chartFormat chart="0" format="9">
      <pivotArea type="data" outline="0" fieldPosition="0">
        <references count="2">
          <reference field="4294967294" count="1" selected="0">
            <x v="0"/>
          </reference>
          <reference field="31" count="1" selected="0">
            <x v="1"/>
          </reference>
        </references>
      </pivotArea>
    </chartFormat>
    <chartFormat chart="0" format="10">
      <pivotArea type="data" outline="0" fieldPosition="0">
        <references count="2">
          <reference field="4294967294" count="1" selected="0">
            <x v="0"/>
          </reference>
          <reference field="31" count="1" selected="0">
            <x v="4"/>
          </reference>
        </references>
      </pivotArea>
    </chartFormat>
    <chartFormat chart="0" format="11">
      <pivotArea type="data" outline="0" fieldPosition="0">
        <references count="2">
          <reference field="4294967294" count="1" selected="0">
            <x v="0"/>
          </reference>
          <reference field="31" count="1" selected="0">
            <x v="5"/>
          </reference>
        </references>
      </pivotArea>
    </chartFormat>
    <chartFormat chart="0" format="12">
      <pivotArea type="data" outline="0" fieldPosition="0">
        <references count="2">
          <reference field="4294967294" count="1" selected="0">
            <x v="0"/>
          </reference>
          <reference field="31" count="1" selected="0">
            <x v="6"/>
          </reference>
        </references>
      </pivotArea>
    </chartFormat>
    <chartFormat chart="0" format="13">
      <pivotArea type="data" outline="0" fieldPosition="0">
        <references count="2">
          <reference field="4294967294" count="1" selected="0">
            <x v="0"/>
          </reference>
          <reference field="31" count="1" selected="0">
            <x v="8"/>
          </reference>
        </references>
      </pivotArea>
    </chartFormat>
  </chartFormats>
  <pivotTableStyleInfo name="PivotStyleLight16" showRowHeaders="1" showColHeaders="1" showRowStripes="0" showColStripes="0" showLastColumn="1"/>
  <filters count="1">
    <filter fld="31"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CB116BB-B8BA-4AC5-863B-F7465C2B18E4}" name="PivotTable9"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B3:C9" firstHeaderRow="1" firstDataRow="1" firstDataCol="1"/>
  <pivotFields count="36">
    <pivotField showAll="0"/>
    <pivotField showAll="0"/>
    <pivotField showAll="0">
      <items count="4">
        <item x="0"/>
        <item x="1"/>
        <item x="2"/>
        <item t="default"/>
      </items>
    </pivotField>
    <pivotField showAll="0"/>
    <pivotField showAll="0"/>
    <pivotField showAll="0"/>
    <pivotField showAll="0"/>
    <pivotField showAll="0"/>
    <pivotField showAll="0"/>
    <pivotField showAll="0">
      <items count="11">
        <item x="1"/>
        <item x="8"/>
        <item x="2"/>
        <item x="5"/>
        <item x="3"/>
        <item x="0"/>
        <item x="6"/>
        <item x="4"/>
        <item x="7"/>
        <item x="9"/>
        <item t="default"/>
      </items>
    </pivotField>
    <pivotField showAll="0">
      <items count="5">
        <item x="2"/>
        <item x="1"/>
        <item x="0"/>
        <item x="3"/>
        <item t="default"/>
      </items>
    </pivotField>
    <pivotField showAll="0"/>
    <pivotField showAll="0"/>
    <pivotField showAll="0"/>
    <pivotField showAll="0"/>
    <pivotField showAll="0"/>
    <pivotField showAll="0"/>
    <pivotField showAll="0"/>
    <pivotField showAll="0"/>
    <pivotField showAll="0" sortType="ascending">
      <items count="18">
        <item x="7"/>
        <item x="8"/>
        <item h="1" x="5"/>
        <item h="1" x="2"/>
        <item h="1" x="9"/>
        <item x="13"/>
        <item x="12"/>
        <item x="15"/>
        <item x="11"/>
        <item h="1" x="1"/>
        <item x="16"/>
        <item x="14"/>
        <item h="1" x="4"/>
        <item h="1" x="10"/>
        <item h="1" x="6"/>
        <item x="3"/>
        <item h="1" x="0"/>
        <item t="default"/>
      </items>
      <autoSortScope>
        <pivotArea dataOnly="0" outline="0" fieldPosition="0">
          <references count="1">
            <reference field="4294967294" count="1" selected="0">
              <x v="0"/>
            </reference>
          </references>
        </pivotArea>
      </autoSortScope>
    </pivotField>
    <pivotField showAll="0"/>
    <pivotField dataField="1" showAll="0">
      <items count="15">
        <item x="1"/>
        <item x="2"/>
        <item x="6"/>
        <item x="3"/>
        <item x="7"/>
        <item x="8"/>
        <item x="4"/>
        <item x="5"/>
        <item x="10"/>
        <item x="9"/>
        <item x="11"/>
        <item x="12"/>
        <item x="13"/>
        <item x="0"/>
        <item t="default"/>
      </items>
    </pivotField>
    <pivotField showAll="0"/>
    <pivotField showAll="0"/>
    <pivotField showAll="0"/>
    <pivotField showAll="0"/>
    <pivotField showAll="0"/>
    <pivotField showAll="0"/>
    <pivotField showAll="0">
      <items count="5">
        <item x="2"/>
        <item x="3"/>
        <item x="1"/>
        <item x="0"/>
        <item t="default"/>
      </items>
    </pivotField>
    <pivotField showAll="0"/>
    <pivotField showAll="0">
      <items count="10">
        <item x="7"/>
        <item x="8"/>
        <item x="5"/>
        <item x="1"/>
        <item x="4"/>
        <item x="2"/>
        <item x="6"/>
        <item x="3"/>
        <item x="0"/>
        <item t="default"/>
      </items>
    </pivotField>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5">
        <item h="1" sd="0" x="0"/>
        <item x="1"/>
        <item x="2"/>
        <item sd="0" x="3"/>
        <item t="default"/>
      </items>
    </pivotField>
  </pivotFields>
  <rowFields count="2">
    <field x="35"/>
    <field x="33"/>
  </rowFields>
  <rowItems count="6">
    <i>
      <x v="1"/>
    </i>
    <i r="1">
      <x v="10"/>
    </i>
    <i r="1">
      <x v="12"/>
    </i>
    <i>
      <x v="2"/>
    </i>
    <i r="1">
      <x v="1"/>
    </i>
    <i t="grand">
      <x/>
    </i>
  </rowItems>
  <colItems count="1">
    <i/>
  </colItems>
  <dataFields count="1">
    <dataField name="Count of meeting_date" fld="21"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DC14F29-E79A-4D59-9660-A96FA933F72A}" name="PivotTable8"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location ref="B3:C8" firstHeaderRow="1" firstDataRow="1" firstDataCol="1"/>
  <pivotFields count="36">
    <pivotField showAll="0"/>
    <pivotField showAll="0"/>
    <pivotField showAll="0">
      <items count="4">
        <item x="0"/>
        <item x="1"/>
        <item x="2"/>
        <item t="default"/>
      </items>
    </pivotField>
    <pivotField showAll="0"/>
    <pivotField showAll="0"/>
    <pivotField showAll="0"/>
    <pivotField showAll="0"/>
    <pivotField showAll="0"/>
    <pivotField showAll="0"/>
    <pivotField showAll="0">
      <items count="11">
        <item x="1"/>
        <item x="8"/>
        <item x="2"/>
        <item x="5"/>
        <item x="3"/>
        <item x="0"/>
        <item x="6"/>
        <item x="4"/>
        <item x="7"/>
        <item x="9"/>
        <item t="default"/>
      </items>
    </pivotField>
    <pivotField showAll="0">
      <items count="5">
        <item x="2"/>
        <item x="1"/>
        <item x="0"/>
        <item x="3"/>
        <item t="default"/>
      </items>
    </pivotField>
    <pivotField showAll="0"/>
    <pivotField showAll="0"/>
    <pivotField showAll="0"/>
    <pivotField showAll="0"/>
    <pivotField showAll="0"/>
    <pivotField showAll="0"/>
    <pivotField showAll="0"/>
    <pivotField showAll="0"/>
    <pivotField showAll="0"/>
    <pivotField showAll="0"/>
    <pivotField showAll="0">
      <items count="15">
        <item x="1"/>
        <item x="2"/>
        <item x="6"/>
        <item x="3"/>
        <item x="7"/>
        <item x="8"/>
        <item x="4"/>
        <item x="5"/>
        <item x="10"/>
        <item x="9"/>
        <item x="11"/>
        <item x="12"/>
        <item x="13"/>
        <item x="0"/>
        <item t="default"/>
      </items>
    </pivotField>
    <pivotField showAll="0"/>
    <pivotField showAll="0"/>
    <pivotField showAll="0"/>
    <pivotField showAll="0"/>
    <pivotField dataField="1" showAll="0"/>
    <pivotField showAll="0"/>
    <pivotField axis="axisRow" showAll="0" sortType="ascending">
      <items count="5">
        <item x="2"/>
        <item x="3"/>
        <item x="1"/>
        <item x="0"/>
        <item t="default"/>
      </items>
      <autoSortScope>
        <pivotArea dataOnly="0" outline="0" fieldPosition="0">
          <references count="1">
            <reference field="4294967294" count="1" selected="0">
              <x v="0"/>
            </reference>
          </references>
        </pivotArea>
      </autoSortScope>
    </pivotField>
    <pivotField showAll="0"/>
    <pivotField showAll="0">
      <items count="10">
        <item x="7"/>
        <item x="8"/>
        <item x="5"/>
        <item x="1"/>
        <item x="4"/>
        <item x="2"/>
        <item x="6"/>
        <item x="3"/>
        <item x="0"/>
        <item t="default"/>
      </items>
    </pivotField>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28"/>
  </rowFields>
  <rowItems count="5">
    <i>
      <x v="3"/>
    </i>
    <i>
      <x v="1"/>
    </i>
    <i>
      <x/>
    </i>
    <i>
      <x v="2"/>
    </i>
    <i t="grand">
      <x/>
    </i>
  </rowItems>
  <colItems count="1">
    <i/>
  </colItems>
  <dataFields count="1">
    <dataField name="Sum of revenue_amount" fld="26"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5" xr16:uid="{2F4039E1-E466-4E8C-9970-D1394B6EF747}" autoFormatId="16" applyNumberFormats="0" applyBorderFormats="0" applyFontFormats="0" applyPatternFormats="0" applyAlignmentFormats="0" applyWidthHeightFormats="0">
  <queryTableRefresh nextId="76">
    <queryTableFields count="33">
      <queryTableField id="1" name="client_name" tableColumnId="1"/>
      <queryTableField id="2" name="policy_number" tableColumnId="2"/>
      <queryTableField id="3" name="policy_status" tableColumnId="3"/>
      <queryTableField id="4" name="policy_start_date" tableColumnId="4"/>
      <queryTableField id="5" name="policy_end_date" tableColumnId="5"/>
      <queryTableField id="6" name="product_group" tableColumnId="6"/>
      <queryTableField id="7" name="Account Id" tableColumnId="7"/>
      <queryTableField id="8" name="Account Exe ID" tableColumnId="8"/>
      <queryTableField id="9" name="branch_name" tableColumnId="9"/>
      <queryTableField id="10" name="solution_group" tableColumnId="10"/>
      <queryTableField id="11" name="income_class" tableColumnId="11"/>
      <queryTableField id="12" name="Amount" tableColumnId="12"/>
      <queryTableField id="13" name="income_due_date" tableColumnId="13"/>
      <queryTableField id="14" name="revenue_transaction_type" tableColumnId="14"/>
      <queryTableField id="15" name="renewal_status" tableColumnId="15"/>
      <queryTableField id="16" name="lapse_reason" tableColumnId="16"/>
      <queryTableField id="17" name="last_updated_date" tableColumnId="17"/>
      <queryTableField id="56" name="invoice_number" tableColumnId="20"/>
      <queryTableField id="57" name="invoice_date" tableColumnId="26"/>
      <queryTableField id="19" name="Account Executive" tableColumnId="19"/>
      <queryTableField id="63" name="global_attendees" tableColumnId="30"/>
      <queryTableField id="64" name="meeting_date" tableColumnId="31"/>
      <queryTableField id="65" name="opportunity_name" tableColumnId="32"/>
      <queryTableField id="66" name="opportunity_id" tableColumnId="33"/>
      <queryTableField id="67" name="Account Exe Id" tableColumnId="34"/>
      <queryTableField id="68" name="premium_amount" tableColumnId="35"/>
      <queryTableField id="69" name="revenue_amount" tableColumnId="36"/>
      <queryTableField id="70" name="closing_date" tableColumnId="37"/>
      <queryTableField id="71" name="stage" tableColumnId="38"/>
      <queryTableField id="72" name="branch" tableColumnId="39"/>
      <queryTableField id="73" name="specialty" tableColumnId="40"/>
      <queryTableField id="74" name="product_sub_group" tableColumnId="41"/>
      <queryTableField id="75" name="risk_details" tableColumnId="4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come_class" xr10:uid="{A8C5024C-75CF-4FAD-821B-44AA470D2D59}" sourceName="income_class">
  <pivotTables>
    <pivotTable tabId="9" name="PivotTable3"/>
    <pivotTable tabId="15" name="PivotTable9"/>
    <pivotTable tabId="10" name="PivotTable4"/>
    <pivotTable tabId="11" name="PivotTable5"/>
    <pivotTable tabId="14" name="PivotTable8"/>
    <pivotTable tabId="12" name="PivotTable6"/>
    <pivotTable tabId="13" name="PivotTable7"/>
  </pivotTables>
  <data>
    <tabular pivotCacheId="706663133">
      <items count="4">
        <i x="2" s="1"/>
        <i x="1"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ge" xr10:uid="{8B596335-DCAC-456B-BE90-542182B8CC35}" sourceName="stage">
  <pivotTables>
    <pivotTable tabId="12" name="PivotTable6"/>
    <pivotTable tabId="15" name="PivotTable9"/>
    <pivotTable tabId="9" name="PivotTable3"/>
    <pivotTable tabId="11" name="PivotTable5"/>
    <pivotTable tabId="14" name="PivotTable8"/>
    <pivotTable tabId="13" name="PivotTable7"/>
  </pivotTables>
  <data>
    <tabular pivotCacheId="706663133">
      <items count="4">
        <i x="2" s="1"/>
        <i x="3"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olution_group" xr10:uid="{18C20523-FEC3-4D38-BCA5-0421503A209E}" sourceName="solution_group">
  <pivotTables>
    <pivotTable tabId="9" name="PivotTable3"/>
    <pivotTable tabId="15" name="PivotTable9"/>
    <pivotTable tabId="10" name="PivotTable4"/>
    <pivotTable tabId="11" name="PivotTable5"/>
    <pivotTable tabId="14" name="PivotTable8"/>
    <pivotTable tabId="12" name="PivotTable6"/>
    <pivotTable tabId="13" name="PivotTable7"/>
  </pivotTables>
  <data>
    <tabular pivotCacheId="706663133">
      <items count="10">
        <i x="1" s="1"/>
        <i x="8" s="1"/>
        <i x="2" s="1"/>
        <i x="5" s="1"/>
        <i x="3" s="1"/>
        <i x="0" s="1"/>
        <i x="6" s="1"/>
        <i x="4" s="1"/>
        <i x="7" s="1"/>
        <i x="9"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pecialty" xr10:uid="{D94FB256-5474-4AD4-8E60-7D2C1B73360D}" sourceName="specialty">
  <pivotTables>
    <pivotTable tabId="11" name="PivotTable5"/>
    <pivotTable tabId="15" name="PivotTable9"/>
    <pivotTable tabId="9" name="PivotTable3"/>
    <pivotTable tabId="10" name="PivotTable4"/>
    <pivotTable tabId="14" name="PivotTable8"/>
    <pivotTable tabId="12" name="PivotTable6"/>
    <pivotTable tabId="13" name="PivotTable7"/>
  </pivotTables>
  <data>
    <tabular pivotCacheId="706663133">
      <items count="9">
        <i x="7" s="1"/>
        <i x="8" s="1"/>
        <i x="5" s="1"/>
        <i x="1" s="1"/>
        <i x="4" s="1"/>
        <i x="2" s="1"/>
        <i x="6" s="1"/>
        <i x="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ncome_class 1" xr10:uid="{F768FB5C-D33E-444B-BF61-3E1B71C4B57C}" cache="Slicer_income_class" caption="income_class" rowHeight="241300"/>
  <slicer name="stage 1" xr10:uid="{F335FF69-6D53-4D1B-8557-155F11BD4DBA}" cache="Slicer_stage" caption="stage" rowHeight="241300"/>
  <slicer name="solution_group 1" xr10:uid="{DC327B30-286E-456D-A61E-05CBD85183A4}" cache="Slicer_solution_group" caption="solution_group"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ncome_class 2" xr10:uid="{A5A93323-E476-4A05-809C-C8578C2CF68F}" cache="Slicer_income_class" caption="income_class" rowHeight="241300"/>
  <slicer name="stage 2" xr10:uid="{FDB054F5-517F-4C40-8BF1-5EEEDBEBB3AC}" cache="Slicer_stage" caption="stage" rowHeight="241300"/>
  <slicer name="solution_group 2" xr10:uid="{40943D53-8234-43AC-BC7E-6FB00DF141B4}" cache="Slicer_solution_group" caption="solution_group" rowHeight="241300"/>
  <slicer name="specialty" xr10:uid="{4879F430-ABB6-4B56-A47A-AAD969E3420D}" cache="Slicer_specialty" caption="specialty"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E7C464E1-80E5-4447-8558-4FD4890D2B93}" name="Master_Table" displayName="Master_Table" ref="A1:AG322" tableType="queryTable" totalsRowShown="0">
  <autoFilter ref="A1:AG322" xr:uid="{E7C464E1-80E5-4447-8558-4FD4890D2B93}"/>
  <tableColumns count="33">
    <tableColumn id="1" xr3:uid="{BD165355-4C24-46CC-B0F3-3ED992988F85}" uniqueName="1" name="client_name" queryTableFieldId="1" dataDxfId="51"/>
    <tableColumn id="2" xr3:uid="{BB51BB69-8691-4482-B593-C7A5B6155661}" uniqueName="2" name="policy_number" queryTableFieldId="2"/>
    <tableColumn id="3" xr3:uid="{141339F3-F4A9-40BF-94F8-0AA27B0C8CE0}" uniqueName="3" name="policy_status" queryTableFieldId="3" dataDxfId="50"/>
    <tableColumn id="4" xr3:uid="{770679DC-E9DA-4BBC-840C-FFBBC5CF1BBB}" uniqueName="4" name="policy_start_date" queryTableFieldId="4" dataDxfId="49"/>
    <tableColumn id="5" xr3:uid="{A49276A7-629A-4569-8C04-AB6E6076B51F}" uniqueName="5" name="policy_end_date" queryTableFieldId="5" dataDxfId="48"/>
    <tableColumn id="6" xr3:uid="{03742075-CC4C-4A9C-B41C-076D21CD34DD}" uniqueName="6" name="product_group" queryTableFieldId="6" dataDxfId="47"/>
    <tableColumn id="7" xr3:uid="{0A8104B9-CD66-4395-B718-4A6248E4E9CA}" uniqueName="7" name="Account Id" queryTableFieldId="7"/>
    <tableColumn id="8" xr3:uid="{7E7D99C5-39BF-45C7-8534-90F9D61F1A90}" uniqueName="8" name="Account Exe ID" queryTableFieldId="8" dataDxfId="46"/>
    <tableColumn id="9" xr3:uid="{3D37ED01-3D89-4101-835F-73D95E7BCBBD}" uniqueName="9" name="branch_name" queryTableFieldId="9" dataDxfId="45"/>
    <tableColumn id="10" xr3:uid="{F2C629B5-D8DB-48C2-9EE9-F09AF26FEABD}" uniqueName="10" name="solution_group" queryTableFieldId="10" dataDxfId="44"/>
    <tableColumn id="11" xr3:uid="{706F1D89-3379-4FD9-BDC5-2EF24F73DC3A}" uniqueName="11" name="income_class" queryTableFieldId="11" dataDxfId="43"/>
    <tableColumn id="12" xr3:uid="{98995B16-FCB9-4CA7-8A87-AE2CAB86D2EA}" uniqueName="12" name="Amount" queryTableFieldId="12"/>
    <tableColumn id="13" xr3:uid="{82216E96-53D6-400D-A35A-304F0D1616B0}" uniqueName="13" name="income_due_date" queryTableFieldId="13" dataDxfId="42"/>
    <tableColumn id="14" xr3:uid="{609E0CC0-0849-4093-A709-B3701219B93E}" uniqueName="14" name="revenue_transaction_type" queryTableFieldId="14" dataDxfId="41"/>
    <tableColumn id="15" xr3:uid="{30BA9965-EC85-4367-9C75-A92CB46200B4}" uniqueName="15" name="renewal_status" queryTableFieldId="15" dataDxfId="40"/>
    <tableColumn id="16" xr3:uid="{61523E39-B6B0-4DE9-BDAD-75E051D6FC80}" uniqueName="16" name="lapse_reason" queryTableFieldId="16" dataDxfId="39"/>
    <tableColumn id="17" xr3:uid="{A851CF02-6CBC-40F9-8861-1EF7EE3D3F81}" uniqueName="17" name="last_updated_date" queryTableFieldId="17" dataDxfId="38"/>
    <tableColumn id="20" xr3:uid="{23DC5918-8E30-4AA4-A1B5-1E5B6216A777}" uniqueName="20" name="invoice_number" queryTableFieldId="56"/>
    <tableColumn id="26" xr3:uid="{09939F28-AD58-4FD6-B7CE-69CE662A9CE7}" uniqueName="26" name="invoice_date" queryTableFieldId="57" dataDxfId="37"/>
    <tableColumn id="19" xr3:uid="{B2852D68-8D32-472A-AC78-C5B13399515D}" uniqueName="19" name="Account Executive" queryTableFieldId="19" dataDxfId="36"/>
    <tableColumn id="30" xr3:uid="{9829D71C-3F5D-4FB7-B17D-22376D002118}" uniqueName="30" name="global_attendees" queryTableFieldId="63" dataDxfId="35"/>
    <tableColumn id="31" xr3:uid="{65C6BDF6-A927-4A9A-9984-E36373E71E63}" uniqueName="31" name="meeting_date" queryTableFieldId="64" dataDxfId="34"/>
    <tableColumn id="32" xr3:uid="{BD1AEBC6-A049-4555-997B-2BCADAD0C67C}" uniqueName="32" name="opportunity_name" queryTableFieldId="65" dataDxfId="33"/>
    <tableColumn id="33" xr3:uid="{0BA5E049-B3BA-4787-B6CF-DDFD682696DF}" uniqueName="33" name="opportunity_id" queryTableFieldId="66" dataDxfId="32"/>
    <tableColumn id="34" xr3:uid="{AB016F4F-AE75-4F81-9E38-2431CE43C995}" uniqueName="34" name="Account Exe Id2" queryTableFieldId="67"/>
    <tableColumn id="35" xr3:uid="{CC874C21-F435-48A6-AEC3-1CFAFE0B3A5C}" uniqueName="35" name="premium_amount" queryTableFieldId="68"/>
    <tableColumn id="36" xr3:uid="{CCF4DECD-983B-406E-809E-F6133C1EB804}" uniqueName="36" name="revenue_amount" queryTableFieldId="69"/>
    <tableColumn id="37" xr3:uid="{CBE835CA-887A-4A38-8D14-8FC7AF912B98}" uniqueName="37" name="closing_date" queryTableFieldId="70" dataDxfId="31"/>
    <tableColumn id="38" xr3:uid="{4E408FB3-BDC2-4470-A5AF-AB58D790D5D7}" uniqueName="38" name="stage" queryTableFieldId="71" dataDxfId="30"/>
    <tableColumn id="39" xr3:uid="{1D94D27E-5485-448F-92BB-5F7F2EEB8B86}" uniqueName="39" name="branch" queryTableFieldId="72" dataDxfId="29"/>
    <tableColumn id="40" xr3:uid="{8DE696CA-C7B1-4462-A697-E94DFB52B21A}" uniqueName="40" name="specialty" queryTableFieldId="73" dataDxfId="28"/>
    <tableColumn id="41" xr3:uid="{9736FCBB-B697-44D2-9735-A60664A74F1A}" uniqueName="41" name="product_sub_group" queryTableFieldId="74" dataDxfId="27"/>
    <tableColumn id="42" xr3:uid="{E8804FC0-5BBE-44D1-9159-12EC284AB808}" uniqueName="42" name="risk_details" queryTableFieldId="75" dataDxfId="26"/>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meeting_date" xr10:uid="{7E3D95E8-519D-420D-AACD-1B78B395BD71}" sourceName="meeting_date">
  <pivotTables>
    <pivotTable tabId="15" name="PivotTable9"/>
    <pivotTable tabId="9" name="PivotTable3"/>
    <pivotTable tabId="10" name="PivotTable4"/>
    <pivotTable tabId="11" name="PivotTable5"/>
    <pivotTable tabId="14" name="PivotTable8"/>
    <pivotTable tabId="12" name="PivotTable6"/>
    <pivotTable tabId="13" name="PivotTable7"/>
  </pivotTables>
  <state minimalRefreshVersion="6" lastRefreshVersion="6" pivotCacheId="706663133" filterType="unknown">
    <bounds startDate="2019-01-01T00:00:00" endDate="2021-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meeting_date 1" xr10:uid="{3FA99EEB-61FB-4A10-A003-9607D0C5D07A}" cache="NativeTimeline_meeting_date" caption="meeting_date" level="2" selectionLevel="2" scrollPosition="2020-06-07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meeting_date 2" xr10:uid="{69093E39-619E-44A8-A15D-46F6960C3C4E}" cache="NativeTimeline_meeting_date" caption="meeting_date" level="1" selectionLevel="1" scrollPosition="2019-01-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5.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6.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7.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8.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9.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10.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11.xml"/></Relationships>
</file>

<file path=xl/worksheets/_rels/sheet10.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8.xml"/></Relationships>
</file>

<file path=xl/worksheets/_rels/sheet11.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965F87-8FE9-4B4D-8096-EA33D6B3C06C}">
  <dimension ref="A1:AG322"/>
  <sheetViews>
    <sheetView topLeftCell="V302" workbookViewId="0">
      <selection sqref="A1:AG322"/>
    </sheetView>
  </sheetViews>
  <sheetFormatPr defaultRowHeight="15" x14ac:dyDescent="0.25"/>
  <cols>
    <col min="1" max="1" width="14.28515625" bestFit="1" customWidth="1"/>
    <col min="2" max="2" width="30" bestFit="1" customWidth="1"/>
    <col min="3" max="3" width="14.85546875" bestFit="1" customWidth="1"/>
    <col min="4" max="4" width="18.7109375" bestFit="1" customWidth="1"/>
    <col min="5" max="5" width="18.140625" bestFit="1" customWidth="1"/>
    <col min="6" max="6" width="18" bestFit="1" customWidth="1"/>
    <col min="7" max="7" width="12.5703125" bestFit="1" customWidth="1"/>
    <col min="8" max="8" width="16.42578125" bestFit="1" customWidth="1"/>
    <col min="9" max="9" width="15.42578125" bestFit="1" customWidth="1"/>
    <col min="10" max="10" width="34.28515625" bestFit="1" customWidth="1"/>
    <col min="11" max="11" width="15" bestFit="1" customWidth="1"/>
    <col min="12" max="12" width="10.42578125" bestFit="1" customWidth="1"/>
    <col min="13" max="13" width="19.5703125" bestFit="1" customWidth="1"/>
    <col min="14" max="14" width="27" bestFit="1" customWidth="1"/>
    <col min="15" max="15" width="17" bestFit="1" customWidth="1"/>
    <col min="16" max="16" width="15" bestFit="1" customWidth="1"/>
    <col min="17" max="17" width="20.140625" bestFit="1" customWidth="1"/>
    <col min="18" max="18" width="17.85546875" bestFit="1" customWidth="1"/>
    <col min="19" max="19" width="14.7109375" bestFit="1" customWidth="1"/>
    <col min="20" max="20" width="19.7109375" bestFit="1" customWidth="1"/>
    <col min="21" max="21" width="27.28515625" bestFit="1" customWidth="1"/>
    <col min="22" max="22" width="15.85546875" bestFit="1" customWidth="1"/>
    <col min="23" max="23" width="28.140625" bestFit="1" customWidth="1"/>
    <col min="24" max="24" width="16.7109375" bestFit="1" customWidth="1"/>
    <col min="25" max="25" width="17.28515625" bestFit="1" customWidth="1"/>
    <col min="26" max="26" width="19.5703125" bestFit="1" customWidth="1"/>
    <col min="27" max="27" width="18.7109375" bestFit="1" customWidth="1"/>
    <col min="28" max="28" width="14.42578125" bestFit="1" customWidth="1"/>
    <col min="29" max="29" width="19" bestFit="1" customWidth="1"/>
    <col min="30" max="30" width="11.7109375" bestFit="1" customWidth="1"/>
    <col min="31" max="31" width="41.7109375" bestFit="1" customWidth="1"/>
    <col min="32" max="32" width="32.7109375" bestFit="1" customWidth="1"/>
    <col min="33" max="33" width="50.85546875" bestFit="1" customWidth="1"/>
    <col min="34" max="34" width="29.5703125" bestFit="1" customWidth="1"/>
    <col min="35" max="35" width="30.85546875" bestFit="1" customWidth="1"/>
    <col min="36" max="36" width="35.140625" bestFit="1" customWidth="1"/>
    <col min="37" max="37" width="34.5703125" bestFit="1" customWidth="1"/>
    <col min="38" max="38" width="17.85546875" bestFit="1" customWidth="1"/>
    <col min="39" max="39" width="14.7109375" bestFit="1" customWidth="1"/>
    <col min="40" max="40" width="28.7109375" bestFit="1" customWidth="1"/>
    <col min="41" max="41" width="21.28515625" bestFit="1" customWidth="1"/>
    <col min="42" max="42" width="12" bestFit="1" customWidth="1"/>
    <col min="43" max="43" width="25.140625" bestFit="1" customWidth="1"/>
    <col min="44" max="44" width="22" bestFit="1" customWidth="1"/>
    <col min="45" max="45" width="34.28515625" bestFit="1" customWidth="1"/>
    <col min="46" max="46" width="17.5703125" bestFit="1" customWidth="1"/>
    <col min="47" max="47" width="26.7109375" bestFit="1" customWidth="1"/>
    <col min="48" max="48" width="34.28515625" bestFit="1" customWidth="1"/>
    <col min="49" max="49" width="23.7109375" bestFit="1" customWidth="1"/>
    <col min="50" max="50" width="26.85546875" bestFit="1" customWidth="1"/>
    <col min="51" max="51" width="22.28515625" bestFit="1" customWidth="1"/>
    <col min="52" max="52" width="21.5703125" bestFit="1" customWidth="1"/>
    <col min="53" max="53" width="25" bestFit="1" customWidth="1"/>
    <col min="54" max="54" width="17.5703125" bestFit="1" customWidth="1"/>
    <col min="55" max="55" width="26.7109375" bestFit="1" customWidth="1"/>
    <col min="56" max="56" width="24.85546875" bestFit="1" customWidth="1"/>
    <col min="57" max="57" width="28.140625" bestFit="1" customWidth="1"/>
    <col min="58" max="58" width="23.85546875" bestFit="1" customWidth="1"/>
    <col min="59" max="59" width="27.28515625" bestFit="1" customWidth="1"/>
    <col min="60" max="60" width="24.28515625" bestFit="1" customWidth="1"/>
    <col min="61" max="61" width="32" bestFit="1" customWidth="1"/>
    <col min="62" max="62" width="28.5703125" bestFit="1" customWidth="1"/>
    <col min="63" max="63" width="28.140625" bestFit="1" customWidth="1"/>
    <col min="64" max="64" width="31.42578125" bestFit="1" customWidth="1"/>
    <col min="65" max="65" width="31.28515625" bestFit="1" customWidth="1"/>
    <col min="66" max="66" width="30.5703125" bestFit="1" customWidth="1"/>
    <col min="67" max="67" width="26.28515625" bestFit="1" customWidth="1"/>
    <col min="68" max="68" width="19.7109375" bestFit="1" customWidth="1"/>
    <col min="69" max="69" width="21" bestFit="1" customWidth="1"/>
    <col min="70" max="70" width="22.85546875" bestFit="1" customWidth="1"/>
    <col min="71" max="71" width="28.28515625" bestFit="1" customWidth="1"/>
    <col min="72" max="72" width="32.5703125" bestFit="1" customWidth="1"/>
    <col min="73" max="73" width="25.28515625" bestFit="1" customWidth="1"/>
  </cols>
  <sheetData>
    <row r="1" spans="1:33"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213</v>
      </c>
      <c r="S1" t="s">
        <v>214</v>
      </c>
      <c r="T1" t="s">
        <v>207</v>
      </c>
      <c r="U1" t="s">
        <v>353</v>
      </c>
      <c r="V1" t="s">
        <v>354</v>
      </c>
      <c r="W1" t="s">
        <v>223</v>
      </c>
      <c r="X1" t="s">
        <v>224</v>
      </c>
      <c r="Y1" t="s">
        <v>389</v>
      </c>
      <c r="Z1" t="s">
        <v>225</v>
      </c>
      <c r="AA1" t="s">
        <v>226</v>
      </c>
      <c r="AB1" t="s">
        <v>227</v>
      </c>
      <c r="AC1" t="s">
        <v>228</v>
      </c>
      <c r="AD1" t="s">
        <v>229</v>
      </c>
      <c r="AE1" t="s">
        <v>230</v>
      </c>
      <c r="AF1" t="s">
        <v>231</v>
      </c>
      <c r="AG1" t="s">
        <v>232</v>
      </c>
    </row>
    <row r="2" spans="1:33" x14ac:dyDescent="0.25">
      <c r="A2" t="s">
        <v>17</v>
      </c>
      <c r="B2" t="s">
        <v>18</v>
      </c>
      <c r="C2" t="s">
        <v>19</v>
      </c>
      <c r="D2" s="1">
        <v>43209</v>
      </c>
      <c r="E2" s="1">
        <v>43573</v>
      </c>
      <c r="F2" t="s">
        <v>20</v>
      </c>
      <c r="G2">
        <v>1</v>
      </c>
      <c r="H2" t="s">
        <v>21</v>
      </c>
      <c r="I2" t="s">
        <v>22</v>
      </c>
      <c r="J2" t="s">
        <v>20</v>
      </c>
      <c r="K2" t="s">
        <v>23</v>
      </c>
      <c r="L2">
        <v>32186.720000000001</v>
      </c>
      <c r="M2" s="1">
        <v>43209</v>
      </c>
      <c r="N2" t="s">
        <v>24</v>
      </c>
      <c r="O2" t="s">
        <v>25</v>
      </c>
      <c r="Q2" s="1">
        <v>43852</v>
      </c>
      <c r="S2" s="1"/>
      <c r="V2" s="1"/>
      <c r="AB2" s="1"/>
    </row>
    <row r="3" spans="1:33" x14ac:dyDescent="0.25">
      <c r="A3" t="s">
        <v>26</v>
      </c>
      <c r="B3" t="s">
        <v>375</v>
      </c>
      <c r="C3" t="s">
        <v>19</v>
      </c>
      <c r="D3" s="1">
        <v>43586</v>
      </c>
      <c r="E3" s="1">
        <v>43951</v>
      </c>
      <c r="F3" t="s">
        <v>20</v>
      </c>
      <c r="G3">
        <v>2</v>
      </c>
      <c r="H3" t="s">
        <v>27</v>
      </c>
      <c r="I3" t="s">
        <v>22</v>
      </c>
      <c r="J3" t="s">
        <v>20</v>
      </c>
      <c r="K3" t="s">
        <v>28</v>
      </c>
      <c r="L3">
        <v>23590.71</v>
      </c>
      <c r="M3" s="1">
        <v>43586</v>
      </c>
      <c r="N3" t="s">
        <v>24</v>
      </c>
      <c r="O3" t="s">
        <v>25</v>
      </c>
      <c r="Q3" s="1">
        <v>43852</v>
      </c>
      <c r="S3" s="1"/>
      <c r="V3" s="1"/>
      <c r="AB3" s="1"/>
    </row>
    <row r="4" spans="1:33" x14ac:dyDescent="0.25">
      <c r="A4" t="s">
        <v>29</v>
      </c>
      <c r="B4" t="s">
        <v>30</v>
      </c>
      <c r="C4" t="s">
        <v>31</v>
      </c>
      <c r="D4" s="1">
        <v>43356</v>
      </c>
      <c r="E4" s="1">
        <v>43720</v>
      </c>
      <c r="F4" t="s">
        <v>32</v>
      </c>
      <c r="G4">
        <v>1</v>
      </c>
      <c r="H4" t="s">
        <v>21</v>
      </c>
      <c r="I4" t="s">
        <v>22</v>
      </c>
      <c r="J4" t="s">
        <v>33</v>
      </c>
      <c r="K4" t="s">
        <v>23</v>
      </c>
      <c r="L4">
        <v>4611.96</v>
      </c>
      <c r="M4" s="1">
        <v>43356</v>
      </c>
      <c r="N4" t="s">
        <v>24</v>
      </c>
      <c r="O4" t="s">
        <v>25</v>
      </c>
      <c r="Q4" s="1">
        <v>43852</v>
      </c>
      <c r="S4" s="1"/>
      <c r="V4" s="1"/>
      <c r="AB4" s="1"/>
    </row>
    <row r="5" spans="1:33" x14ac:dyDescent="0.25">
      <c r="A5" t="s">
        <v>36</v>
      </c>
      <c r="B5" t="s">
        <v>37</v>
      </c>
      <c r="C5" t="s">
        <v>19</v>
      </c>
      <c r="D5" s="1">
        <v>43497</v>
      </c>
      <c r="E5" s="1">
        <v>43861</v>
      </c>
      <c r="F5" t="s">
        <v>38</v>
      </c>
      <c r="G5">
        <v>10</v>
      </c>
      <c r="H5" t="s">
        <v>39</v>
      </c>
      <c r="I5" t="s">
        <v>22</v>
      </c>
      <c r="J5" t="s">
        <v>40</v>
      </c>
      <c r="K5" t="s">
        <v>23</v>
      </c>
      <c r="L5">
        <v>1825.43</v>
      </c>
      <c r="M5" s="1">
        <v>43497</v>
      </c>
      <c r="N5" t="s">
        <v>24</v>
      </c>
      <c r="O5" t="s">
        <v>25</v>
      </c>
      <c r="Q5" s="1">
        <v>43852</v>
      </c>
      <c r="S5" s="1"/>
      <c r="V5" s="1"/>
      <c r="AB5" s="1"/>
    </row>
    <row r="6" spans="1:33" x14ac:dyDescent="0.25">
      <c r="A6" t="s">
        <v>41</v>
      </c>
      <c r="B6" t="s">
        <v>42</v>
      </c>
      <c r="C6" t="s">
        <v>19</v>
      </c>
      <c r="D6" s="1">
        <v>43641</v>
      </c>
      <c r="E6" s="1">
        <v>44006</v>
      </c>
      <c r="F6" t="s">
        <v>38</v>
      </c>
      <c r="G6">
        <v>2</v>
      </c>
      <c r="H6" t="s">
        <v>27</v>
      </c>
      <c r="I6" t="s">
        <v>22</v>
      </c>
      <c r="J6" t="s">
        <v>40</v>
      </c>
      <c r="K6" t="s">
        <v>28</v>
      </c>
      <c r="L6">
        <v>79833.600000000006</v>
      </c>
      <c r="M6" s="1">
        <v>43641</v>
      </c>
      <c r="N6" t="s">
        <v>24</v>
      </c>
      <c r="O6" t="s">
        <v>43</v>
      </c>
      <c r="Q6" s="1">
        <v>43852</v>
      </c>
      <c r="S6" s="1"/>
      <c r="V6" s="1"/>
      <c r="AB6" s="1"/>
    </row>
    <row r="7" spans="1:33" x14ac:dyDescent="0.25">
      <c r="A7" t="s">
        <v>44</v>
      </c>
      <c r="B7" t="s">
        <v>376</v>
      </c>
      <c r="C7" t="s">
        <v>19</v>
      </c>
      <c r="D7" s="1">
        <v>43215</v>
      </c>
      <c r="E7" s="1">
        <v>43579</v>
      </c>
      <c r="F7" t="s">
        <v>34</v>
      </c>
      <c r="G7">
        <v>1</v>
      </c>
      <c r="H7" t="s">
        <v>21</v>
      </c>
      <c r="I7" t="s">
        <v>22</v>
      </c>
      <c r="J7" t="s">
        <v>40</v>
      </c>
      <c r="K7" t="s">
        <v>23</v>
      </c>
      <c r="L7">
        <v>847.38</v>
      </c>
      <c r="M7" s="1">
        <v>43215</v>
      </c>
      <c r="N7" t="s">
        <v>24</v>
      </c>
      <c r="O7" t="s">
        <v>25</v>
      </c>
      <c r="Q7" s="1">
        <v>43852</v>
      </c>
      <c r="S7" s="1"/>
      <c r="V7" s="1"/>
      <c r="AB7" s="1"/>
    </row>
    <row r="8" spans="1:33" x14ac:dyDescent="0.25">
      <c r="A8" t="s">
        <v>46</v>
      </c>
      <c r="B8" t="s">
        <v>377</v>
      </c>
      <c r="C8" t="s">
        <v>19</v>
      </c>
      <c r="D8" s="1">
        <v>43605</v>
      </c>
      <c r="E8" s="1">
        <v>43970</v>
      </c>
      <c r="F8" t="s">
        <v>34</v>
      </c>
      <c r="G8">
        <v>1</v>
      </c>
      <c r="H8" t="s">
        <v>21</v>
      </c>
      <c r="I8" t="s">
        <v>22</v>
      </c>
      <c r="J8" t="s">
        <v>35</v>
      </c>
      <c r="K8" t="s">
        <v>23</v>
      </c>
      <c r="L8">
        <v>8117</v>
      </c>
      <c r="M8" s="1">
        <v>43850</v>
      </c>
      <c r="N8" t="s">
        <v>24</v>
      </c>
      <c r="O8" t="s">
        <v>23</v>
      </c>
      <c r="Q8" s="1">
        <v>43852</v>
      </c>
      <c r="S8" s="1"/>
      <c r="V8" s="1"/>
      <c r="AB8" s="1"/>
    </row>
    <row r="9" spans="1:33" x14ac:dyDescent="0.25">
      <c r="A9" t="s">
        <v>47</v>
      </c>
      <c r="B9" t="s">
        <v>48</v>
      </c>
      <c r="C9" t="s">
        <v>19</v>
      </c>
      <c r="D9" s="1">
        <v>43263</v>
      </c>
      <c r="E9" s="1">
        <v>43627</v>
      </c>
      <c r="F9" t="s">
        <v>20</v>
      </c>
      <c r="G9">
        <v>9</v>
      </c>
      <c r="H9" t="s">
        <v>49</v>
      </c>
      <c r="I9" t="s">
        <v>22</v>
      </c>
      <c r="J9" t="s">
        <v>50</v>
      </c>
      <c r="K9" t="s">
        <v>23</v>
      </c>
      <c r="L9">
        <v>1980</v>
      </c>
      <c r="M9" s="1">
        <v>43263</v>
      </c>
      <c r="N9" t="s">
        <v>24</v>
      </c>
      <c r="O9" t="s">
        <v>43</v>
      </c>
      <c r="Q9" s="1">
        <v>43852</v>
      </c>
      <c r="S9" s="1"/>
      <c r="V9" s="1"/>
      <c r="AB9" s="1"/>
    </row>
    <row r="10" spans="1:33" x14ac:dyDescent="0.25">
      <c r="A10" t="s">
        <v>51</v>
      </c>
      <c r="B10" t="s">
        <v>378</v>
      </c>
      <c r="C10" t="s">
        <v>19</v>
      </c>
      <c r="D10" s="1">
        <v>43703</v>
      </c>
      <c r="E10" s="1">
        <v>44068</v>
      </c>
      <c r="F10" t="s">
        <v>34</v>
      </c>
      <c r="G10">
        <v>3</v>
      </c>
      <c r="H10" t="s">
        <v>52</v>
      </c>
      <c r="I10" t="s">
        <v>22</v>
      </c>
      <c r="J10" t="s">
        <v>53</v>
      </c>
      <c r="K10" t="s">
        <v>54</v>
      </c>
      <c r="L10">
        <v>2089.25</v>
      </c>
      <c r="M10" s="1">
        <v>43703</v>
      </c>
      <c r="N10" t="s">
        <v>24</v>
      </c>
      <c r="O10" t="s">
        <v>25</v>
      </c>
      <c r="Q10" s="1">
        <v>43852</v>
      </c>
      <c r="S10" s="1"/>
      <c r="V10" s="1"/>
      <c r="AB10" s="1"/>
    </row>
    <row r="11" spans="1:33" x14ac:dyDescent="0.25">
      <c r="A11" t="s">
        <v>57</v>
      </c>
      <c r="B11" t="s">
        <v>379</v>
      </c>
      <c r="C11" t="s">
        <v>19</v>
      </c>
      <c r="D11" s="1">
        <v>43191</v>
      </c>
      <c r="E11" s="1">
        <v>43555</v>
      </c>
      <c r="F11" t="s">
        <v>34</v>
      </c>
      <c r="G11">
        <v>3</v>
      </c>
      <c r="H11" t="s">
        <v>52</v>
      </c>
      <c r="I11" t="s">
        <v>22</v>
      </c>
      <c r="J11" t="s">
        <v>53</v>
      </c>
      <c r="K11" t="s">
        <v>23</v>
      </c>
      <c r="L11">
        <v>66937.72</v>
      </c>
      <c r="M11" s="1">
        <v>43191</v>
      </c>
      <c r="N11" t="s">
        <v>24</v>
      </c>
      <c r="O11" t="s">
        <v>25</v>
      </c>
      <c r="Q11" s="1">
        <v>43852</v>
      </c>
      <c r="S11" s="1"/>
      <c r="V11" s="1"/>
      <c r="AB11" s="1"/>
    </row>
    <row r="12" spans="1:33" x14ac:dyDescent="0.25">
      <c r="A12" t="s">
        <v>60</v>
      </c>
      <c r="B12" t="s">
        <v>61</v>
      </c>
      <c r="C12" t="s">
        <v>31</v>
      </c>
      <c r="D12" s="1">
        <v>43196</v>
      </c>
      <c r="E12" s="1">
        <v>43560</v>
      </c>
      <c r="F12" t="s">
        <v>20</v>
      </c>
      <c r="G12">
        <v>1</v>
      </c>
      <c r="H12" t="s">
        <v>21</v>
      </c>
      <c r="I12" t="s">
        <v>22</v>
      </c>
      <c r="J12" t="s">
        <v>20</v>
      </c>
      <c r="K12" t="s">
        <v>23</v>
      </c>
      <c r="L12">
        <v>49499.839999999997</v>
      </c>
      <c r="M12" s="1">
        <v>43196</v>
      </c>
      <c r="N12" t="s">
        <v>24</v>
      </c>
      <c r="O12" t="s">
        <v>43</v>
      </c>
      <c r="Q12" s="1">
        <v>43852</v>
      </c>
      <c r="S12" s="1"/>
      <c r="V12" s="1"/>
      <c r="AB12" s="1"/>
    </row>
    <row r="13" spans="1:33" x14ac:dyDescent="0.25">
      <c r="A13" t="s">
        <v>62</v>
      </c>
      <c r="B13" t="s">
        <v>63</v>
      </c>
      <c r="C13" t="s">
        <v>19</v>
      </c>
      <c r="D13" s="1">
        <v>43709</v>
      </c>
      <c r="E13" s="1">
        <v>44074</v>
      </c>
      <c r="F13" t="s">
        <v>32</v>
      </c>
      <c r="G13">
        <v>1</v>
      </c>
      <c r="H13" t="s">
        <v>21</v>
      </c>
      <c r="I13" t="s">
        <v>22</v>
      </c>
      <c r="J13" t="s">
        <v>45</v>
      </c>
      <c r="K13" t="s">
        <v>23</v>
      </c>
      <c r="L13">
        <v>13114.95</v>
      </c>
      <c r="M13" s="1">
        <v>43709</v>
      </c>
      <c r="N13" t="s">
        <v>24</v>
      </c>
      <c r="O13" t="s">
        <v>23</v>
      </c>
      <c r="Q13" s="1">
        <v>43852</v>
      </c>
      <c r="S13" s="1"/>
      <c r="V13" s="1"/>
      <c r="AB13" s="1"/>
    </row>
    <row r="14" spans="1:33" x14ac:dyDescent="0.25">
      <c r="A14" t="s">
        <v>64</v>
      </c>
      <c r="B14" t="s">
        <v>380</v>
      </c>
      <c r="C14" t="s">
        <v>19</v>
      </c>
      <c r="D14" s="1">
        <v>43313</v>
      </c>
      <c r="E14" s="1">
        <v>43677</v>
      </c>
      <c r="F14" t="s">
        <v>35</v>
      </c>
      <c r="G14">
        <v>6</v>
      </c>
      <c r="H14" t="s">
        <v>65</v>
      </c>
      <c r="I14" t="s">
        <v>22</v>
      </c>
      <c r="J14" t="s">
        <v>35</v>
      </c>
      <c r="K14" t="s">
        <v>23</v>
      </c>
      <c r="L14">
        <v>61425</v>
      </c>
      <c r="M14" s="1">
        <v>43313</v>
      </c>
      <c r="N14" t="s">
        <v>24</v>
      </c>
      <c r="O14" t="s">
        <v>25</v>
      </c>
      <c r="Q14" s="1">
        <v>43852</v>
      </c>
      <c r="S14" s="1"/>
      <c r="V14" s="1"/>
      <c r="AB14" s="1"/>
    </row>
    <row r="15" spans="1:33" x14ac:dyDescent="0.25">
      <c r="A15" t="s">
        <v>66</v>
      </c>
      <c r="B15" t="s">
        <v>381</v>
      </c>
      <c r="C15" t="s">
        <v>19</v>
      </c>
      <c r="D15" s="1">
        <v>43370</v>
      </c>
      <c r="E15" s="1">
        <v>43734</v>
      </c>
      <c r="F15" t="s">
        <v>20</v>
      </c>
      <c r="G15">
        <v>1</v>
      </c>
      <c r="H15" t="s">
        <v>21</v>
      </c>
      <c r="I15" t="s">
        <v>22</v>
      </c>
      <c r="J15" t="s">
        <v>20</v>
      </c>
      <c r="K15" t="s">
        <v>23</v>
      </c>
      <c r="L15">
        <v>1650</v>
      </c>
      <c r="M15" s="1">
        <v>43370</v>
      </c>
      <c r="N15" t="s">
        <v>24</v>
      </c>
      <c r="O15" t="s">
        <v>25</v>
      </c>
      <c r="Q15" s="1">
        <v>43852</v>
      </c>
      <c r="S15" s="1"/>
      <c r="V15" s="1"/>
      <c r="AB15" s="1"/>
    </row>
    <row r="16" spans="1:33" x14ac:dyDescent="0.25">
      <c r="A16" t="s">
        <v>67</v>
      </c>
      <c r="B16" t="s">
        <v>68</v>
      </c>
      <c r="C16" t="s">
        <v>31</v>
      </c>
      <c r="D16" s="1">
        <v>43160</v>
      </c>
      <c r="E16" s="1">
        <v>43524</v>
      </c>
      <c r="F16" t="s">
        <v>20</v>
      </c>
      <c r="G16">
        <v>3</v>
      </c>
      <c r="H16" t="s">
        <v>52</v>
      </c>
      <c r="I16" t="s">
        <v>22</v>
      </c>
      <c r="J16" t="s">
        <v>53</v>
      </c>
      <c r="K16" t="s">
        <v>23</v>
      </c>
      <c r="L16">
        <v>16335</v>
      </c>
      <c r="M16" s="1">
        <v>43160</v>
      </c>
      <c r="N16" t="s">
        <v>24</v>
      </c>
      <c r="O16" t="s">
        <v>25</v>
      </c>
      <c r="Q16" s="1">
        <v>43852</v>
      </c>
      <c r="S16" s="1"/>
      <c r="V16" s="1"/>
      <c r="AB16" s="1"/>
    </row>
    <row r="17" spans="1:28" x14ac:dyDescent="0.25">
      <c r="A17" t="s">
        <v>70</v>
      </c>
      <c r="B17" t="s">
        <v>71</v>
      </c>
      <c r="C17" t="s">
        <v>19</v>
      </c>
      <c r="D17" s="1">
        <v>43192</v>
      </c>
      <c r="E17" s="1">
        <v>43556</v>
      </c>
      <c r="F17" t="s">
        <v>35</v>
      </c>
      <c r="G17">
        <v>12</v>
      </c>
      <c r="H17" t="s">
        <v>59</v>
      </c>
      <c r="I17" t="s">
        <v>22</v>
      </c>
      <c r="J17" t="s">
        <v>53</v>
      </c>
      <c r="K17" t="s">
        <v>23</v>
      </c>
      <c r="L17">
        <v>0</v>
      </c>
      <c r="M17" s="1">
        <v>43314</v>
      </c>
      <c r="N17" t="s">
        <v>24</v>
      </c>
      <c r="O17" t="s">
        <v>25</v>
      </c>
      <c r="Q17" s="1">
        <v>43852</v>
      </c>
      <c r="S17" s="1"/>
      <c r="V17" s="1"/>
      <c r="AB17" s="1"/>
    </row>
    <row r="18" spans="1:28" x14ac:dyDescent="0.25">
      <c r="A18" t="s">
        <v>72</v>
      </c>
      <c r="B18" t="s">
        <v>73</v>
      </c>
      <c r="C18" t="s">
        <v>31</v>
      </c>
      <c r="D18" s="1">
        <v>43280</v>
      </c>
      <c r="E18" s="1">
        <v>43644</v>
      </c>
      <c r="F18" t="s">
        <v>38</v>
      </c>
      <c r="G18">
        <v>10</v>
      </c>
      <c r="H18" t="s">
        <v>39</v>
      </c>
      <c r="I18" t="s">
        <v>22</v>
      </c>
      <c r="J18" t="s">
        <v>40</v>
      </c>
      <c r="K18" t="s">
        <v>23</v>
      </c>
      <c r="L18">
        <v>4330.05</v>
      </c>
      <c r="M18" s="1">
        <v>43280</v>
      </c>
      <c r="N18" t="s">
        <v>24</v>
      </c>
      <c r="O18" t="s">
        <v>43</v>
      </c>
      <c r="Q18" s="1">
        <v>43852</v>
      </c>
      <c r="S18" s="1"/>
      <c r="V18" s="1"/>
      <c r="AB18" s="1"/>
    </row>
    <row r="19" spans="1:28" x14ac:dyDescent="0.25">
      <c r="A19" t="s">
        <v>76</v>
      </c>
      <c r="B19" t="s">
        <v>77</v>
      </c>
      <c r="C19" t="s">
        <v>31</v>
      </c>
      <c r="D19" s="1">
        <v>43405</v>
      </c>
      <c r="E19" s="1">
        <v>43769</v>
      </c>
      <c r="F19" t="s">
        <v>20</v>
      </c>
      <c r="G19">
        <v>1</v>
      </c>
      <c r="H19" t="s">
        <v>21</v>
      </c>
      <c r="I19" t="s">
        <v>22</v>
      </c>
      <c r="J19" t="s">
        <v>20</v>
      </c>
      <c r="K19" t="s">
        <v>23</v>
      </c>
      <c r="L19">
        <v>92812.5</v>
      </c>
      <c r="M19" s="1">
        <v>43405</v>
      </c>
      <c r="N19" t="s">
        <v>24</v>
      </c>
      <c r="O19" t="s">
        <v>23</v>
      </c>
      <c r="Q19" s="1">
        <v>43852</v>
      </c>
      <c r="S19" s="1"/>
      <c r="V19" s="1"/>
      <c r="AB19" s="1"/>
    </row>
    <row r="20" spans="1:28" x14ac:dyDescent="0.25">
      <c r="A20" t="s">
        <v>79</v>
      </c>
      <c r="B20" t="s">
        <v>80</v>
      </c>
      <c r="C20" t="s">
        <v>19</v>
      </c>
      <c r="D20" s="1">
        <v>43567</v>
      </c>
      <c r="E20" s="1">
        <v>43932</v>
      </c>
      <c r="F20" t="s">
        <v>32</v>
      </c>
      <c r="G20">
        <v>11</v>
      </c>
      <c r="H20" t="s">
        <v>81</v>
      </c>
      <c r="I20" t="s">
        <v>22</v>
      </c>
      <c r="J20" t="s">
        <v>45</v>
      </c>
      <c r="K20" t="s">
        <v>23</v>
      </c>
      <c r="L20">
        <v>5187.3100000000004</v>
      </c>
      <c r="M20" s="1">
        <v>43567</v>
      </c>
      <c r="N20" t="s">
        <v>24</v>
      </c>
      <c r="O20" t="s">
        <v>25</v>
      </c>
      <c r="Q20" s="1">
        <v>43852</v>
      </c>
      <c r="S20" s="1"/>
      <c r="V20" s="1"/>
      <c r="AB20" s="1"/>
    </row>
    <row r="21" spans="1:28" x14ac:dyDescent="0.25">
      <c r="A21" t="s">
        <v>82</v>
      </c>
      <c r="B21" t="s">
        <v>83</v>
      </c>
      <c r="C21" t="s">
        <v>19</v>
      </c>
      <c r="D21" s="1">
        <v>43337</v>
      </c>
      <c r="E21" s="1">
        <v>43701</v>
      </c>
      <c r="F21" t="s">
        <v>32</v>
      </c>
      <c r="G21">
        <v>1</v>
      </c>
      <c r="H21" t="s">
        <v>21</v>
      </c>
      <c r="I21" t="s">
        <v>22</v>
      </c>
      <c r="J21" t="s">
        <v>45</v>
      </c>
      <c r="K21" t="s">
        <v>54</v>
      </c>
      <c r="L21">
        <v>2116.48</v>
      </c>
      <c r="M21" s="1">
        <v>43337</v>
      </c>
      <c r="N21" t="s">
        <v>24</v>
      </c>
      <c r="O21" t="s">
        <v>25</v>
      </c>
      <c r="Q21" s="1">
        <v>43852</v>
      </c>
      <c r="S21" s="1"/>
      <c r="V21" s="1"/>
      <c r="AB21" s="1"/>
    </row>
    <row r="22" spans="1:28" x14ac:dyDescent="0.25">
      <c r="A22" t="s">
        <v>84</v>
      </c>
      <c r="B22" t="s">
        <v>382</v>
      </c>
      <c r="C22" t="s">
        <v>19</v>
      </c>
      <c r="D22" s="1">
        <v>43586</v>
      </c>
      <c r="E22" s="1">
        <v>43951</v>
      </c>
      <c r="F22" t="s">
        <v>34</v>
      </c>
      <c r="G22">
        <v>6</v>
      </c>
      <c r="H22" t="s">
        <v>65</v>
      </c>
      <c r="I22" t="s">
        <v>22</v>
      </c>
      <c r="J22" t="s">
        <v>85</v>
      </c>
      <c r="K22" t="s">
        <v>28</v>
      </c>
      <c r="L22">
        <v>379836.08</v>
      </c>
      <c r="M22" s="1">
        <v>43586</v>
      </c>
      <c r="N22" t="s">
        <v>24</v>
      </c>
      <c r="O22" t="s">
        <v>25</v>
      </c>
      <c r="Q22" s="1">
        <v>43852</v>
      </c>
      <c r="S22" s="1"/>
      <c r="V22" s="1"/>
      <c r="AB22" s="1"/>
    </row>
    <row r="23" spans="1:28" x14ac:dyDescent="0.25">
      <c r="A23" t="s">
        <v>86</v>
      </c>
      <c r="B23" t="s">
        <v>87</v>
      </c>
      <c r="C23" t="s">
        <v>19</v>
      </c>
      <c r="D23" s="1">
        <v>43466</v>
      </c>
      <c r="E23" s="1">
        <v>43830</v>
      </c>
      <c r="F23" t="s">
        <v>35</v>
      </c>
      <c r="G23">
        <v>1</v>
      </c>
      <c r="H23" t="s">
        <v>21</v>
      </c>
      <c r="I23" t="s">
        <v>22</v>
      </c>
      <c r="J23" t="s">
        <v>35</v>
      </c>
      <c r="K23" t="s">
        <v>23</v>
      </c>
      <c r="L23">
        <v>137500</v>
      </c>
      <c r="M23" s="1">
        <v>43466</v>
      </c>
      <c r="N23" t="s">
        <v>24</v>
      </c>
      <c r="O23" t="s">
        <v>25</v>
      </c>
      <c r="Q23" s="1">
        <v>43852</v>
      </c>
      <c r="S23" s="1"/>
      <c r="V23" s="1"/>
      <c r="AB23" s="1"/>
    </row>
    <row r="24" spans="1:28" x14ac:dyDescent="0.25">
      <c r="A24" t="s">
        <v>88</v>
      </c>
      <c r="B24" t="s">
        <v>89</v>
      </c>
      <c r="C24" t="s">
        <v>19</v>
      </c>
      <c r="D24" s="1">
        <v>43160</v>
      </c>
      <c r="E24" s="1">
        <v>43524</v>
      </c>
      <c r="F24" t="s">
        <v>32</v>
      </c>
      <c r="G24">
        <v>5</v>
      </c>
      <c r="H24" t="s">
        <v>78</v>
      </c>
      <c r="I24" t="s">
        <v>22</v>
      </c>
      <c r="J24" t="s">
        <v>50</v>
      </c>
      <c r="K24" t="s">
        <v>28</v>
      </c>
      <c r="L24">
        <v>116487.03999999999</v>
      </c>
      <c r="M24" s="1">
        <v>43160</v>
      </c>
      <c r="N24" t="s">
        <v>24</v>
      </c>
      <c r="O24" t="s">
        <v>25</v>
      </c>
      <c r="Q24" s="1">
        <v>43852</v>
      </c>
      <c r="S24" s="1"/>
      <c r="V24" s="1"/>
      <c r="AB24" s="1"/>
    </row>
    <row r="25" spans="1:28" x14ac:dyDescent="0.25">
      <c r="A25" t="s">
        <v>90</v>
      </c>
      <c r="B25" t="s">
        <v>91</v>
      </c>
      <c r="C25" t="s">
        <v>19</v>
      </c>
      <c r="D25" s="1">
        <v>43608</v>
      </c>
      <c r="E25" s="1">
        <v>43973</v>
      </c>
      <c r="F25" t="s">
        <v>35</v>
      </c>
      <c r="G25">
        <v>1</v>
      </c>
      <c r="H25" t="s">
        <v>21</v>
      </c>
      <c r="I25" t="s">
        <v>22</v>
      </c>
      <c r="J25" t="s">
        <v>35</v>
      </c>
      <c r="K25" t="s">
        <v>23</v>
      </c>
      <c r="L25">
        <v>28125</v>
      </c>
      <c r="M25" s="1">
        <v>43608</v>
      </c>
      <c r="N25" t="s">
        <v>24</v>
      </c>
      <c r="O25" t="s">
        <v>25</v>
      </c>
      <c r="Q25" s="1">
        <v>43852</v>
      </c>
      <c r="S25" s="1"/>
      <c r="V25" s="1"/>
      <c r="AB25" s="1"/>
    </row>
    <row r="26" spans="1:28" x14ac:dyDescent="0.25">
      <c r="A26" t="s">
        <v>93</v>
      </c>
      <c r="B26" t="s">
        <v>383</v>
      </c>
      <c r="C26" t="s">
        <v>31</v>
      </c>
      <c r="D26" s="1">
        <v>43348</v>
      </c>
      <c r="E26" s="1">
        <v>43712</v>
      </c>
      <c r="F26" t="s">
        <v>34</v>
      </c>
      <c r="G26">
        <v>3</v>
      </c>
      <c r="H26" t="s">
        <v>52</v>
      </c>
      <c r="I26" t="s">
        <v>22</v>
      </c>
      <c r="J26" t="s">
        <v>53</v>
      </c>
      <c r="K26" t="s">
        <v>23</v>
      </c>
      <c r="L26">
        <v>6058.38</v>
      </c>
      <c r="M26" s="1">
        <v>43348</v>
      </c>
      <c r="N26" t="s">
        <v>24</v>
      </c>
      <c r="O26" t="s">
        <v>25</v>
      </c>
      <c r="Q26" s="1">
        <v>43852</v>
      </c>
      <c r="S26" s="1"/>
      <c r="V26" s="1"/>
      <c r="AB26" s="1"/>
    </row>
    <row r="27" spans="1:28" x14ac:dyDescent="0.25">
      <c r="A27" t="s">
        <v>96</v>
      </c>
      <c r="B27" t="s">
        <v>97</v>
      </c>
      <c r="C27" t="s">
        <v>19</v>
      </c>
      <c r="D27" s="1">
        <v>43359</v>
      </c>
      <c r="E27" s="1">
        <v>43723</v>
      </c>
      <c r="F27" t="s">
        <v>32</v>
      </c>
      <c r="G27">
        <v>1</v>
      </c>
      <c r="H27" t="s">
        <v>21</v>
      </c>
      <c r="I27" t="s">
        <v>22</v>
      </c>
      <c r="J27" t="s">
        <v>45</v>
      </c>
      <c r="K27" t="s">
        <v>23</v>
      </c>
      <c r="L27">
        <v>33977.82</v>
      </c>
      <c r="M27" s="1">
        <v>43359</v>
      </c>
      <c r="N27" t="s">
        <v>24</v>
      </c>
      <c r="O27" t="s">
        <v>25</v>
      </c>
      <c r="Q27" s="1">
        <v>43852</v>
      </c>
      <c r="S27" s="1"/>
      <c r="V27" s="1"/>
      <c r="AB27" s="1"/>
    </row>
    <row r="28" spans="1:28" x14ac:dyDescent="0.25">
      <c r="A28" t="s">
        <v>99</v>
      </c>
      <c r="B28" t="s">
        <v>100</v>
      </c>
      <c r="C28" t="s">
        <v>19</v>
      </c>
      <c r="D28" s="1">
        <v>43494</v>
      </c>
      <c r="E28" s="1">
        <v>43858</v>
      </c>
      <c r="F28" t="s">
        <v>32</v>
      </c>
      <c r="G28">
        <v>13</v>
      </c>
      <c r="H28" t="s">
        <v>101</v>
      </c>
      <c r="I28" t="s">
        <v>22</v>
      </c>
      <c r="J28" t="s">
        <v>45</v>
      </c>
      <c r="K28" t="s">
        <v>28</v>
      </c>
      <c r="L28">
        <v>5462.5</v>
      </c>
      <c r="M28" s="1">
        <v>43494</v>
      </c>
      <c r="N28" t="s">
        <v>24</v>
      </c>
      <c r="O28" t="s">
        <v>25</v>
      </c>
      <c r="Q28" s="1">
        <v>43852</v>
      </c>
      <c r="S28" s="1"/>
      <c r="V28" s="1"/>
      <c r="AB28" s="1"/>
    </row>
    <row r="29" spans="1:28" x14ac:dyDescent="0.25">
      <c r="A29" t="s">
        <v>121</v>
      </c>
      <c r="B29" t="s">
        <v>384</v>
      </c>
      <c r="C29" t="s">
        <v>19</v>
      </c>
      <c r="D29" s="1">
        <v>43554</v>
      </c>
      <c r="E29" s="1">
        <v>43919</v>
      </c>
      <c r="F29" t="s">
        <v>35</v>
      </c>
      <c r="G29">
        <v>6</v>
      </c>
      <c r="H29" t="s">
        <v>65</v>
      </c>
      <c r="I29" t="s">
        <v>22</v>
      </c>
      <c r="J29" t="s">
        <v>35</v>
      </c>
      <c r="K29" t="s">
        <v>28</v>
      </c>
      <c r="L29">
        <v>14107.5</v>
      </c>
      <c r="M29" s="1">
        <v>43554</v>
      </c>
      <c r="N29" t="s">
        <v>24</v>
      </c>
      <c r="O29" t="s">
        <v>25</v>
      </c>
      <c r="Q29" s="1">
        <v>43852</v>
      </c>
      <c r="S29" s="1"/>
      <c r="V29" s="1"/>
      <c r="AB29" s="1"/>
    </row>
    <row r="30" spans="1:28" x14ac:dyDescent="0.25">
      <c r="A30" t="s">
        <v>132</v>
      </c>
      <c r="B30" t="s">
        <v>133</v>
      </c>
      <c r="C30" t="s">
        <v>31</v>
      </c>
      <c r="D30" s="1">
        <v>43151</v>
      </c>
      <c r="E30" s="1">
        <v>43515</v>
      </c>
      <c r="F30" t="s">
        <v>34</v>
      </c>
      <c r="G30">
        <v>9</v>
      </c>
      <c r="H30" t="s">
        <v>49</v>
      </c>
      <c r="I30" t="s">
        <v>22</v>
      </c>
      <c r="J30" t="s">
        <v>45</v>
      </c>
      <c r="K30" t="s">
        <v>23</v>
      </c>
      <c r="L30">
        <v>8452.1299999999992</v>
      </c>
      <c r="M30" s="1">
        <v>43151</v>
      </c>
      <c r="N30" t="s">
        <v>24</v>
      </c>
      <c r="O30" t="s">
        <v>25</v>
      </c>
      <c r="Q30" s="1">
        <v>43852</v>
      </c>
      <c r="S30" s="1"/>
      <c r="V30" s="1"/>
      <c r="AB30" s="1"/>
    </row>
    <row r="31" spans="1:28" x14ac:dyDescent="0.25">
      <c r="A31" t="s">
        <v>136</v>
      </c>
      <c r="B31" t="s">
        <v>385</v>
      </c>
      <c r="C31" t="s">
        <v>19</v>
      </c>
      <c r="D31" s="1">
        <v>43801</v>
      </c>
      <c r="E31" s="1">
        <v>44166</v>
      </c>
      <c r="F31" t="s">
        <v>20</v>
      </c>
      <c r="G31">
        <v>2</v>
      </c>
      <c r="H31" t="s">
        <v>27</v>
      </c>
      <c r="I31" t="s">
        <v>22</v>
      </c>
      <c r="J31" t="s">
        <v>20</v>
      </c>
      <c r="K31" t="s">
        <v>28</v>
      </c>
      <c r="L31">
        <v>20625</v>
      </c>
      <c r="M31" s="1">
        <v>43801</v>
      </c>
      <c r="N31" t="s">
        <v>24</v>
      </c>
      <c r="O31" t="s">
        <v>25</v>
      </c>
      <c r="Q31" s="1">
        <v>43852</v>
      </c>
      <c r="S31" s="1"/>
      <c r="V31" s="1"/>
      <c r="AB31" s="1"/>
    </row>
    <row r="32" spans="1:28" x14ac:dyDescent="0.25">
      <c r="A32" t="s">
        <v>151</v>
      </c>
      <c r="B32" t="s">
        <v>152</v>
      </c>
      <c r="C32" t="s">
        <v>19</v>
      </c>
      <c r="D32" s="1">
        <v>43646</v>
      </c>
      <c r="E32" s="1">
        <v>44011</v>
      </c>
      <c r="F32" t="s">
        <v>20</v>
      </c>
      <c r="G32">
        <v>1</v>
      </c>
      <c r="H32" t="s">
        <v>21</v>
      </c>
      <c r="I32" t="s">
        <v>22</v>
      </c>
      <c r="J32" t="s">
        <v>20</v>
      </c>
      <c r="K32" t="s">
        <v>23</v>
      </c>
      <c r="L32">
        <v>66188.759999999995</v>
      </c>
      <c r="M32" s="1">
        <v>43646</v>
      </c>
      <c r="N32" t="s">
        <v>24</v>
      </c>
      <c r="O32" t="s">
        <v>23</v>
      </c>
      <c r="Q32" s="1">
        <v>43852</v>
      </c>
      <c r="S32" s="1"/>
      <c r="V32" s="1"/>
      <c r="AB32" s="1"/>
    </row>
    <row r="33" spans="1:28" x14ac:dyDescent="0.25">
      <c r="A33" t="s">
        <v>157</v>
      </c>
      <c r="B33" t="s">
        <v>158</v>
      </c>
      <c r="C33" t="s">
        <v>19</v>
      </c>
      <c r="D33" s="1">
        <v>43441</v>
      </c>
      <c r="E33" s="1">
        <v>43805</v>
      </c>
      <c r="F33" t="s">
        <v>20</v>
      </c>
      <c r="G33">
        <v>1</v>
      </c>
      <c r="H33" t="s">
        <v>21</v>
      </c>
      <c r="I33" t="s">
        <v>22</v>
      </c>
      <c r="J33" t="s">
        <v>20</v>
      </c>
      <c r="K33" t="s">
        <v>54</v>
      </c>
      <c r="L33">
        <v>3630</v>
      </c>
      <c r="M33" s="1">
        <v>43816</v>
      </c>
      <c r="N33" t="s">
        <v>24</v>
      </c>
      <c r="O33" t="s">
        <v>25</v>
      </c>
      <c r="Q33" s="1">
        <v>43852</v>
      </c>
      <c r="S33" s="1"/>
      <c r="V33" s="1"/>
      <c r="AB33" s="1"/>
    </row>
    <row r="34" spans="1:28" x14ac:dyDescent="0.25">
      <c r="A34" t="s">
        <v>183</v>
      </c>
      <c r="B34" t="s">
        <v>184</v>
      </c>
      <c r="C34" t="s">
        <v>31</v>
      </c>
      <c r="D34" s="1">
        <v>43191</v>
      </c>
      <c r="E34" s="1">
        <v>43555</v>
      </c>
      <c r="F34" t="s">
        <v>20</v>
      </c>
      <c r="G34">
        <v>6</v>
      </c>
      <c r="H34" t="s">
        <v>65</v>
      </c>
      <c r="I34" t="s">
        <v>22</v>
      </c>
      <c r="J34" t="s">
        <v>20</v>
      </c>
      <c r="K34" t="s">
        <v>23</v>
      </c>
      <c r="L34">
        <v>23771.05</v>
      </c>
      <c r="M34" s="1">
        <v>43191</v>
      </c>
      <c r="N34" t="s">
        <v>24</v>
      </c>
      <c r="O34" t="s">
        <v>25</v>
      </c>
      <c r="Q34" s="1">
        <v>43852</v>
      </c>
      <c r="S34" s="1"/>
      <c r="V34" s="1"/>
      <c r="AB34" s="1"/>
    </row>
    <row r="35" spans="1:28" x14ac:dyDescent="0.25">
      <c r="A35" t="s">
        <v>200</v>
      </c>
      <c r="B35" t="s">
        <v>386</v>
      </c>
      <c r="C35" t="s">
        <v>19</v>
      </c>
      <c r="D35" s="1">
        <v>43433</v>
      </c>
      <c r="E35" s="1">
        <v>43797</v>
      </c>
      <c r="F35" t="s">
        <v>35</v>
      </c>
      <c r="G35">
        <v>6</v>
      </c>
      <c r="H35" t="s">
        <v>65</v>
      </c>
      <c r="I35" t="s">
        <v>22</v>
      </c>
      <c r="J35" t="s">
        <v>35</v>
      </c>
      <c r="K35" t="s">
        <v>28</v>
      </c>
      <c r="L35">
        <v>115173.38</v>
      </c>
      <c r="M35" s="1">
        <v>43433</v>
      </c>
      <c r="N35" t="s">
        <v>24</v>
      </c>
      <c r="O35" t="s">
        <v>25</v>
      </c>
      <c r="Q35" s="1">
        <v>43852</v>
      </c>
      <c r="S35" s="1"/>
      <c r="V35" s="1"/>
      <c r="AB35" s="1"/>
    </row>
    <row r="36" spans="1:28" x14ac:dyDescent="0.25">
      <c r="A36" t="s">
        <v>57</v>
      </c>
      <c r="D36" s="1"/>
      <c r="E36" s="1"/>
      <c r="I36" t="s">
        <v>22</v>
      </c>
      <c r="J36" t="s">
        <v>35</v>
      </c>
      <c r="K36" t="s">
        <v>28</v>
      </c>
      <c r="L36">
        <v>84746</v>
      </c>
      <c r="M36" s="1">
        <v>43565</v>
      </c>
      <c r="N36" t="s">
        <v>208</v>
      </c>
      <c r="Q36" s="1"/>
      <c r="R36">
        <v>1900001087</v>
      </c>
      <c r="S36" s="1">
        <v>43566</v>
      </c>
      <c r="T36" t="s">
        <v>215</v>
      </c>
      <c r="V36" s="1"/>
      <c r="AB36" s="1"/>
    </row>
    <row r="37" spans="1:28" x14ac:dyDescent="0.25">
      <c r="A37" t="s">
        <v>66</v>
      </c>
      <c r="B37">
        <v>2.4142020928135997E+18</v>
      </c>
      <c r="D37" s="1"/>
      <c r="E37" s="1"/>
      <c r="I37" t="s">
        <v>22</v>
      </c>
      <c r="J37" t="s">
        <v>53</v>
      </c>
      <c r="K37" t="s">
        <v>23</v>
      </c>
      <c r="L37">
        <v>86724</v>
      </c>
      <c r="M37" s="1">
        <v>43466</v>
      </c>
      <c r="N37" t="s">
        <v>24</v>
      </c>
      <c r="Q37" s="1"/>
      <c r="R37">
        <v>1900001106</v>
      </c>
      <c r="S37" s="1">
        <v>43602</v>
      </c>
      <c r="T37" t="s">
        <v>216</v>
      </c>
      <c r="V37" s="1"/>
      <c r="AB37" s="1"/>
    </row>
    <row r="38" spans="1:28" x14ac:dyDescent="0.25">
      <c r="A38" t="s">
        <v>96</v>
      </c>
      <c r="B38" t="s">
        <v>194</v>
      </c>
      <c r="D38" s="1"/>
      <c r="E38" s="1"/>
      <c r="I38" t="s">
        <v>22</v>
      </c>
      <c r="J38" t="s">
        <v>53</v>
      </c>
      <c r="K38" t="s">
        <v>23</v>
      </c>
      <c r="L38">
        <v>148500</v>
      </c>
      <c r="M38" s="1">
        <v>43525</v>
      </c>
      <c r="N38" t="s">
        <v>24</v>
      </c>
      <c r="Q38" s="1"/>
      <c r="R38">
        <v>1900001110</v>
      </c>
      <c r="S38" s="1">
        <v>43602</v>
      </c>
      <c r="T38" t="s">
        <v>216</v>
      </c>
      <c r="V38" s="1"/>
      <c r="AB38" s="1"/>
    </row>
    <row r="39" spans="1:28" x14ac:dyDescent="0.25">
      <c r="A39" t="s">
        <v>88</v>
      </c>
      <c r="B39" t="s">
        <v>204</v>
      </c>
      <c r="D39" s="1"/>
      <c r="E39" s="1"/>
      <c r="H39">
        <v>1</v>
      </c>
      <c r="I39" t="s">
        <v>22</v>
      </c>
      <c r="J39" t="s">
        <v>53</v>
      </c>
      <c r="K39" t="s">
        <v>54</v>
      </c>
      <c r="L39">
        <v>12019</v>
      </c>
      <c r="M39" s="1">
        <v>43466</v>
      </c>
      <c r="N39" t="s">
        <v>24</v>
      </c>
      <c r="Q39" s="1"/>
      <c r="R39">
        <v>1900001136</v>
      </c>
      <c r="S39" s="1">
        <v>43615</v>
      </c>
      <c r="T39" t="s">
        <v>21</v>
      </c>
      <c r="V39" s="1"/>
      <c r="AB39" s="1"/>
    </row>
    <row r="40" spans="1:28" x14ac:dyDescent="0.25">
      <c r="A40" t="s">
        <v>57</v>
      </c>
      <c r="B40" t="s">
        <v>131</v>
      </c>
      <c r="D40" s="1"/>
      <c r="E40" s="1"/>
      <c r="I40" t="s">
        <v>22</v>
      </c>
      <c r="J40" t="s">
        <v>53</v>
      </c>
      <c r="K40" t="s">
        <v>23</v>
      </c>
      <c r="L40">
        <v>12500</v>
      </c>
      <c r="M40" s="1">
        <v>43522</v>
      </c>
      <c r="N40" t="s">
        <v>24</v>
      </c>
      <c r="Q40" s="1"/>
      <c r="R40">
        <v>1900001164</v>
      </c>
      <c r="S40" s="1">
        <v>43627</v>
      </c>
      <c r="T40" t="s">
        <v>216</v>
      </c>
      <c r="V40" s="1"/>
      <c r="AB40" s="1"/>
    </row>
    <row r="41" spans="1:28" x14ac:dyDescent="0.25">
      <c r="A41" t="s">
        <v>57</v>
      </c>
      <c r="B41">
        <v>206314000000</v>
      </c>
      <c r="D41" s="1"/>
      <c r="E41" s="1"/>
      <c r="I41" t="s">
        <v>22</v>
      </c>
      <c r="J41" t="s">
        <v>40</v>
      </c>
      <c r="K41" t="s">
        <v>28</v>
      </c>
      <c r="L41">
        <v>58300</v>
      </c>
      <c r="M41" s="1">
        <v>43512</v>
      </c>
      <c r="N41" t="s">
        <v>24</v>
      </c>
      <c r="Q41" s="1"/>
      <c r="R41">
        <v>1900001165</v>
      </c>
      <c r="S41" s="1">
        <v>43627</v>
      </c>
      <c r="T41" t="s">
        <v>217</v>
      </c>
      <c r="V41" s="1"/>
      <c r="AB41" s="1"/>
    </row>
    <row r="42" spans="1:28" x14ac:dyDescent="0.25">
      <c r="A42" t="s">
        <v>17</v>
      </c>
      <c r="B42" t="s">
        <v>56</v>
      </c>
      <c r="D42" s="1"/>
      <c r="E42" s="1"/>
      <c r="H42">
        <v>1</v>
      </c>
      <c r="I42" t="s">
        <v>22</v>
      </c>
      <c r="J42" t="s">
        <v>53</v>
      </c>
      <c r="K42" t="s">
        <v>54</v>
      </c>
      <c r="L42">
        <v>12019</v>
      </c>
      <c r="M42" s="1">
        <v>43466</v>
      </c>
      <c r="N42" t="s">
        <v>24</v>
      </c>
      <c r="Q42" s="1"/>
      <c r="R42">
        <v>1900001167</v>
      </c>
      <c r="S42" s="1">
        <v>43629</v>
      </c>
      <c r="T42" t="s">
        <v>21</v>
      </c>
      <c r="V42" s="1"/>
      <c r="AB42" s="1"/>
    </row>
    <row r="43" spans="1:28" x14ac:dyDescent="0.25">
      <c r="A43" t="s">
        <v>36</v>
      </c>
      <c r="B43" t="s">
        <v>95</v>
      </c>
      <c r="D43" s="1"/>
      <c r="E43" s="1"/>
      <c r="H43">
        <v>1</v>
      </c>
      <c r="I43" t="s">
        <v>22</v>
      </c>
      <c r="J43" t="s">
        <v>53</v>
      </c>
      <c r="K43" t="s">
        <v>54</v>
      </c>
      <c r="L43">
        <v>30048</v>
      </c>
      <c r="M43" s="1">
        <v>43466</v>
      </c>
      <c r="N43" t="s">
        <v>24</v>
      </c>
      <c r="Q43" s="1"/>
      <c r="R43">
        <v>1900001168</v>
      </c>
      <c r="S43" s="1">
        <v>43629</v>
      </c>
      <c r="T43" t="s">
        <v>21</v>
      </c>
      <c r="V43" s="1"/>
      <c r="AB43" s="1"/>
    </row>
    <row r="44" spans="1:28" x14ac:dyDescent="0.25">
      <c r="A44" t="s">
        <v>72</v>
      </c>
      <c r="B44">
        <v>3.1242015891005998E+18</v>
      </c>
      <c r="D44" s="1"/>
      <c r="E44" s="1"/>
      <c r="I44" t="s">
        <v>22</v>
      </c>
      <c r="J44" t="s">
        <v>53</v>
      </c>
      <c r="K44" t="s">
        <v>23</v>
      </c>
      <c r="L44">
        <v>14394</v>
      </c>
      <c r="M44" s="1">
        <v>43467</v>
      </c>
      <c r="N44" t="s">
        <v>24</v>
      </c>
      <c r="Q44" s="1"/>
      <c r="R44">
        <v>1900001169</v>
      </c>
      <c r="S44" s="1">
        <v>43629</v>
      </c>
      <c r="T44" t="s">
        <v>216</v>
      </c>
      <c r="V44" s="1"/>
      <c r="AB44" s="1"/>
    </row>
    <row r="45" spans="1:28" x14ac:dyDescent="0.25">
      <c r="A45" t="s">
        <v>96</v>
      </c>
      <c r="B45" t="s">
        <v>188</v>
      </c>
      <c r="D45" s="1"/>
      <c r="E45" s="1"/>
      <c r="I45" t="s">
        <v>22</v>
      </c>
      <c r="J45" t="s">
        <v>40</v>
      </c>
      <c r="L45">
        <v>32392</v>
      </c>
      <c r="M45" s="1">
        <v>43595</v>
      </c>
      <c r="N45" t="s">
        <v>24</v>
      </c>
      <c r="Q45" s="1"/>
      <c r="R45">
        <v>1900001282</v>
      </c>
      <c r="S45" s="1">
        <v>43659</v>
      </c>
      <c r="T45" t="s">
        <v>218</v>
      </c>
      <c r="V45" s="1"/>
      <c r="AB45" s="1"/>
    </row>
    <row r="46" spans="1:28" x14ac:dyDescent="0.25">
      <c r="A46" t="s">
        <v>66</v>
      </c>
      <c r="B46" t="s">
        <v>148</v>
      </c>
      <c r="D46" s="1"/>
      <c r="E46" s="1"/>
      <c r="H46">
        <v>13</v>
      </c>
      <c r="I46" t="s">
        <v>22</v>
      </c>
      <c r="J46" t="s">
        <v>35</v>
      </c>
      <c r="K46" t="s">
        <v>54</v>
      </c>
      <c r="L46">
        <v>162500</v>
      </c>
      <c r="M46" s="1">
        <v>43560</v>
      </c>
      <c r="N46" t="s">
        <v>24</v>
      </c>
      <c r="Q46" s="1"/>
      <c r="R46">
        <v>1900001293</v>
      </c>
      <c r="S46" s="1">
        <v>43662</v>
      </c>
      <c r="T46" t="s">
        <v>212</v>
      </c>
      <c r="V46" s="1"/>
      <c r="AB46" s="1"/>
    </row>
    <row r="47" spans="1:28" x14ac:dyDescent="0.25">
      <c r="A47" t="s">
        <v>66</v>
      </c>
      <c r="B47" t="s">
        <v>149</v>
      </c>
      <c r="D47" s="1"/>
      <c r="E47" s="1"/>
      <c r="H47">
        <v>13</v>
      </c>
      <c r="I47" t="s">
        <v>22</v>
      </c>
      <c r="J47" t="s">
        <v>35</v>
      </c>
      <c r="K47" t="s">
        <v>54</v>
      </c>
      <c r="L47">
        <v>250000</v>
      </c>
      <c r="M47" s="1">
        <v>43573</v>
      </c>
      <c r="N47" t="s">
        <v>24</v>
      </c>
      <c r="Q47" s="1"/>
      <c r="R47">
        <v>1900001294</v>
      </c>
      <c r="S47" s="1">
        <v>43662</v>
      </c>
      <c r="T47" t="s">
        <v>212</v>
      </c>
      <c r="V47" s="1"/>
      <c r="AB47" s="1"/>
    </row>
    <row r="48" spans="1:28" x14ac:dyDescent="0.25">
      <c r="A48" t="s">
        <v>57</v>
      </c>
      <c r="B48">
        <v>2280082714</v>
      </c>
      <c r="D48" s="1"/>
      <c r="E48" s="1"/>
      <c r="H48">
        <v>1</v>
      </c>
      <c r="I48" t="s">
        <v>22</v>
      </c>
      <c r="J48" t="s">
        <v>53</v>
      </c>
      <c r="K48" t="s">
        <v>54</v>
      </c>
      <c r="L48">
        <v>2646</v>
      </c>
      <c r="M48" s="1">
        <v>43535</v>
      </c>
      <c r="N48" t="s">
        <v>24</v>
      </c>
      <c r="Q48" s="1"/>
      <c r="R48">
        <v>1900001304</v>
      </c>
      <c r="S48" s="1">
        <v>43663</v>
      </c>
      <c r="T48" t="s">
        <v>21</v>
      </c>
      <c r="V48" s="1"/>
      <c r="AB48" s="1"/>
    </row>
    <row r="49" spans="1:28" x14ac:dyDescent="0.25">
      <c r="A49" t="s">
        <v>46</v>
      </c>
      <c r="B49">
        <v>8502066</v>
      </c>
      <c r="D49" s="1"/>
      <c r="E49" s="1"/>
      <c r="I49" t="s">
        <v>22</v>
      </c>
      <c r="J49" t="s">
        <v>53</v>
      </c>
      <c r="L49">
        <v>18150</v>
      </c>
      <c r="M49" s="1">
        <v>43468</v>
      </c>
      <c r="N49" t="s">
        <v>24</v>
      </c>
      <c r="Q49" s="1"/>
      <c r="R49">
        <v>1900001305</v>
      </c>
      <c r="S49" s="1">
        <v>43663</v>
      </c>
      <c r="T49" t="s">
        <v>216</v>
      </c>
      <c r="V49" s="1"/>
      <c r="AB49" s="1"/>
    </row>
    <row r="50" spans="1:28" x14ac:dyDescent="0.25">
      <c r="A50" t="s">
        <v>64</v>
      </c>
      <c r="B50" t="s">
        <v>135</v>
      </c>
      <c r="D50" s="1"/>
      <c r="E50" s="1"/>
      <c r="H50">
        <v>2</v>
      </c>
      <c r="I50" t="s">
        <v>22</v>
      </c>
      <c r="J50" t="s">
        <v>35</v>
      </c>
      <c r="K50" t="s">
        <v>54</v>
      </c>
      <c r="L50">
        <v>60025</v>
      </c>
      <c r="M50" s="1">
        <v>43577</v>
      </c>
      <c r="N50" t="s">
        <v>24</v>
      </c>
      <c r="Q50" s="1"/>
      <c r="R50">
        <v>1900001306</v>
      </c>
      <c r="S50" s="1">
        <v>43663</v>
      </c>
      <c r="T50" t="s">
        <v>27</v>
      </c>
      <c r="V50" s="1"/>
      <c r="AB50" s="1"/>
    </row>
    <row r="51" spans="1:28" x14ac:dyDescent="0.25">
      <c r="A51" t="s">
        <v>47</v>
      </c>
      <c r="B51">
        <v>9.9000044190299996E+19</v>
      </c>
      <c r="D51" s="1"/>
      <c r="E51" s="1"/>
      <c r="H51">
        <v>3</v>
      </c>
      <c r="I51" t="s">
        <v>22</v>
      </c>
      <c r="J51" t="s">
        <v>33</v>
      </c>
      <c r="K51" t="s">
        <v>54</v>
      </c>
      <c r="L51">
        <v>134736</v>
      </c>
      <c r="M51" s="1">
        <v>43580</v>
      </c>
      <c r="N51" t="s">
        <v>24</v>
      </c>
      <c r="Q51" s="1"/>
      <c r="R51">
        <v>1900001308</v>
      </c>
      <c r="S51" s="1">
        <v>43663</v>
      </c>
      <c r="T51" t="s">
        <v>52</v>
      </c>
      <c r="V51" s="1"/>
      <c r="AB51" s="1"/>
    </row>
    <row r="52" spans="1:28" x14ac:dyDescent="0.25">
      <c r="A52" t="s">
        <v>96</v>
      </c>
      <c r="B52" t="s">
        <v>188</v>
      </c>
      <c r="D52" s="1"/>
      <c r="E52" s="1"/>
      <c r="I52" t="s">
        <v>22</v>
      </c>
      <c r="J52" t="s">
        <v>40</v>
      </c>
      <c r="K52" t="s">
        <v>23</v>
      </c>
      <c r="L52">
        <v>914999</v>
      </c>
      <c r="M52" s="1">
        <v>43466</v>
      </c>
      <c r="N52" t="s">
        <v>24</v>
      </c>
      <c r="Q52" s="1"/>
      <c r="R52">
        <v>1900001342</v>
      </c>
      <c r="S52" s="1">
        <v>43669</v>
      </c>
      <c r="T52" t="s">
        <v>218</v>
      </c>
      <c r="V52" s="1"/>
      <c r="AB52" s="1"/>
    </row>
    <row r="53" spans="1:28" x14ac:dyDescent="0.25">
      <c r="A53" t="s">
        <v>72</v>
      </c>
      <c r="B53">
        <v>3.1142027482102001E+18</v>
      </c>
      <c r="D53" s="1"/>
      <c r="E53" s="1"/>
      <c r="H53">
        <v>1</v>
      </c>
      <c r="I53" t="s">
        <v>22</v>
      </c>
      <c r="J53" t="s">
        <v>53</v>
      </c>
      <c r="K53" t="s">
        <v>54</v>
      </c>
      <c r="L53">
        <v>2942</v>
      </c>
      <c r="M53" s="1">
        <v>43566</v>
      </c>
      <c r="N53" t="s">
        <v>24</v>
      </c>
      <c r="Q53" s="1"/>
      <c r="R53">
        <v>1900001354</v>
      </c>
      <c r="S53" s="1">
        <v>43670</v>
      </c>
      <c r="T53" t="s">
        <v>21</v>
      </c>
      <c r="V53" s="1"/>
      <c r="AB53" s="1"/>
    </row>
    <row r="54" spans="1:28" x14ac:dyDescent="0.25">
      <c r="A54" t="s">
        <v>66</v>
      </c>
      <c r="B54" t="s">
        <v>145</v>
      </c>
      <c r="D54" s="1"/>
      <c r="E54" s="1"/>
      <c r="H54">
        <v>1</v>
      </c>
      <c r="I54" t="s">
        <v>22</v>
      </c>
      <c r="J54" t="s">
        <v>53</v>
      </c>
      <c r="K54" t="s">
        <v>54</v>
      </c>
      <c r="L54">
        <v>6740</v>
      </c>
      <c r="M54" s="1">
        <v>43528</v>
      </c>
      <c r="N54" t="s">
        <v>24</v>
      </c>
      <c r="Q54" s="1"/>
      <c r="R54">
        <v>1900001355</v>
      </c>
      <c r="S54" s="1">
        <v>43670</v>
      </c>
      <c r="T54" t="s">
        <v>21</v>
      </c>
      <c r="V54" s="1"/>
      <c r="AB54" s="1"/>
    </row>
    <row r="55" spans="1:28" x14ac:dyDescent="0.25">
      <c r="A55" t="s">
        <v>66</v>
      </c>
      <c r="B55" t="s">
        <v>144</v>
      </c>
      <c r="D55" s="1"/>
      <c r="E55" s="1"/>
      <c r="I55" t="s">
        <v>22</v>
      </c>
      <c r="J55" t="s">
        <v>53</v>
      </c>
      <c r="K55" t="s">
        <v>23</v>
      </c>
      <c r="L55">
        <v>6740</v>
      </c>
      <c r="M55" s="1">
        <v>43513</v>
      </c>
      <c r="N55" t="s">
        <v>24</v>
      </c>
      <c r="Q55" s="1"/>
      <c r="R55">
        <v>1900001356</v>
      </c>
      <c r="S55" s="1">
        <v>43670</v>
      </c>
      <c r="T55" t="s">
        <v>216</v>
      </c>
      <c r="V55" s="1"/>
      <c r="AB55" s="1"/>
    </row>
    <row r="56" spans="1:28" x14ac:dyDescent="0.25">
      <c r="A56" t="s">
        <v>84</v>
      </c>
      <c r="B56">
        <v>41045707</v>
      </c>
      <c r="D56" s="1"/>
      <c r="E56" s="1"/>
      <c r="H56">
        <v>3</v>
      </c>
      <c r="I56" t="s">
        <v>22</v>
      </c>
      <c r="J56" t="s">
        <v>35</v>
      </c>
      <c r="K56" t="s">
        <v>54</v>
      </c>
      <c r="L56">
        <v>74250</v>
      </c>
      <c r="M56" s="1">
        <v>43556</v>
      </c>
      <c r="N56" t="s">
        <v>24</v>
      </c>
      <c r="Q56" s="1"/>
      <c r="R56">
        <v>1900001361</v>
      </c>
      <c r="S56" s="1">
        <v>43673</v>
      </c>
      <c r="T56" t="s">
        <v>52</v>
      </c>
      <c r="V56" s="1"/>
      <c r="AB56" s="1"/>
    </row>
    <row r="57" spans="1:28" x14ac:dyDescent="0.25">
      <c r="A57" t="s">
        <v>96</v>
      </c>
      <c r="B57" t="s">
        <v>189</v>
      </c>
      <c r="D57" s="1"/>
      <c r="E57" s="1"/>
      <c r="I57" t="s">
        <v>22</v>
      </c>
      <c r="J57" t="s">
        <v>40</v>
      </c>
      <c r="L57">
        <v>1614</v>
      </c>
      <c r="M57" s="1">
        <v>43535</v>
      </c>
      <c r="N57" t="s">
        <v>24</v>
      </c>
      <c r="Q57" s="1"/>
      <c r="R57">
        <v>1900001376</v>
      </c>
      <c r="S57" s="1">
        <v>43675</v>
      </c>
      <c r="T57" t="s">
        <v>218</v>
      </c>
      <c r="V57" s="1"/>
      <c r="AB57" s="1"/>
    </row>
    <row r="58" spans="1:28" x14ac:dyDescent="0.25">
      <c r="A58" t="s">
        <v>72</v>
      </c>
      <c r="B58" t="s">
        <v>171</v>
      </c>
      <c r="D58" s="1"/>
      <c r="E58" s="1"/>
      <c r="H58">
        <v>13</v>
      </c>
      <c r="I58" t="s">
        <v>22</v>
      </c>
      <c r="J58" t="s">
        <v>20</v>
      </c>
      <c r="K58" t="s">
        <v>54</v>
      </c>
      <c r="L58">
        <v>11540</v>
      </c>
      <c r="M58" s="1">
        <v>43494</v>
      </c>
      <c r="N58" t="s">
        <v>24</v>
      </c>
      <c r="Q58" s="1"/>
      <c r="R58">
        <v>1900001377</v>
      </c>
      <c r="S58" s="1">
        <v>43675</v>
      </c>
      <c r="T58" t="s">
        <v>212</v>
      </c>
      <c r="V58" s="1"/>
      <c r="AB58" s="1"/>
    </row>
    <row r="59" spans="1:28" x14ac:dyDescent="0.25">
      <c r="A59" t="s">
        <v>96</v>
      </c>
      <c r="B59" t="s">
        <v>193</v>
      </c>
      <c r="D59" s="1"/>
      <c r="E59" s="1"/>
      <c r="I59" t="s">
        <v>22</v>
      </c>
      <c r="J59" t="s">
        <v>53</v>
      </c>
      <c r="L59">
        <v>2140</v>
      </c>
      <c r="M59" s="1">
        <v>43495</v>
      </c>
      <c r="N59" t="s">
        <v>24</v>
      </c>
      <c r="Q59" s="1"/>
      <c r="R59">
        <v>1900001385</v>
      </c>
      <c r="S59" s="1">
        <v>43677</v>
      </c>
      <c r="T59" t="s">
        <v>216</v>
      </c>
      <c r="V59" s="1"/>
      <c r="AB59" s="1"/>
    </row>
    <row r="60" spans="1:28" x14ac:dyDescent="0.25">
      <c r="A60" t="s">
        <v>46</v>
      </c>
      <c r="B60" t="s">
        <v>103</v>
      </c>
      <c r="D60" s="1"/>
      <c r="E60" s="1"/>
      <c r="I60" t="s">
        <v>22</v>
      </c>
      <c r="J60" t="s">
        <v>53</v>
      </c>
      <c r="K60" t="s">
        <v>23</v>
      </c>
      <c r="L60">
        <v>45375</v>
      </c>
      <c r="M60" s="1">
        <v>43525</v>
      </c>
      <c r="N60" t="s">
        <v>24</v>
      </c>
      <c r="Q60" s="1"/>
      <c r="R60">
        <v>1900001388</v>
      </c>
      <c r="S60" s="1">
        <v>43677</v>
      </c>
      <c r="T60" t="s">
        <v>216</v>
      </c>
      <c r="V60" s="1"/>
      <c r="AB60" s="1"/>
    </row>
    <row r="61" spans="1:28" x14ac:dyDescent="0.25">
      <c r="A61" t="s">
        <v>66</v>
      </c>
      <c r="B61">
        <v>32119154</v>
      </c>
      <c r="D61" s="1"/>
      <c r="E61" s="1"/>
      <c r="H61">
        <v>1</v>
      </c>
      <c r="I61" t="s">
        <v>22</v>
      </c>
      <c r="J61" t="s">
        <v>53</v>
      </c>
      <c r="K61" t="s">
        <v>54</v>
      </c>
      <c r="L61">
        <v>11593</v>
      </c>
      <c r="M61" s="1">
        <v>43556</v>
      </c>
      <c r="N61" t="s">
        <v>24</v>
      </c>
      <c r="Q61" s="1"/>
      <c r="R61">
        <v>1900001390</v>
      </c>
      <c r="S61" s="1">
        <v>43677</v>
      </c>
      <c r="T61" t="s">
        <v>21</v>
      </c>
      <c r="V61" s="1"/>
      <c r="AB61" s="1"/>
    </row>
    <row r="62" spans="1:28" x14ac:dyDescent="0.25">
      <c r="A62" t="s">
        <v>96</v>
      </c>
      <c r="B62" t="s">
        <v>188</v>
      </c>
      <c r="D62" s="1"/>
      <c r="E62" s="1"/>
      <c r="I62" t="s">
        <v>22</v>
      </c>
      <c r="J62" t="s">
        <v>40</v>
      </c>
      <c r="L62">
        <v>46995</v>
      </c>
      <c r="M62" s="1">
        <v>43494</v>
      </c>
      <c r="N62" t="s">
        <v>24</v>
      </c>
      <c r="Q62" s="1"/>
      <c r="R62">
        <v>1900001392</v>
      </c>
      <c r="S62" s="1">
        <v>43677</v>
      </c>
      <c r="T62" t="s">
        <v>218</v>
      </c>
      <c r="V62" s="1"/>
      <c r="AB62" s="1"/>
    </row>
    <row r="63" spans="1:28" x14ac:dyDescent="0.25">
      <c r="A63" t="s">
        <v>66</v>
      </c>
      <c r="B63" t="s">
        <v>147</v>
      </c>
      <c r="D63" s="1"/>
      <c r="E63" s="1"/>
      <c r="H63">
        <v>1</v>
      </c>
      <c r="I63" t="s">
        <v>22</v>
      </c>
      <c r="J63" t="s">
        <v>53</v>
      </c>
      <c r="K63" t="s">
        <v>54</v>
      </c>
      <c r="L63">
        <v>529</v>
      </c>
      <c r="M63" s="1">
        <v>43514</v>
      </c>
      <c r="N63" t="s">
        <v>24</v>
      </c>
      <c r="Q63" s="1"/>
      <c r="R63">
        <v>1900001393</v>
      </c>
      <c r="S63" s="1">
        <v>43677</v>
      </c>
      <c r="T63" t="s">
        <v>21</v>
      </c>
      <c r="V63" s="1"/>
      <c r="AB63" s="1"/>
    </row>
    <row r="64" spans="1:28" x14ac:dyDescent="0.25">
      <c r="A64" t="s">
        <v>29</v>
      </c>
      <c r="B64" t="s">
        <v>69</v>
      </c>
      <c r="D64" s="1"/>
      <c r="E64" s="1"/>
      <c r="I64" t="s">
        <v>22</v>
      </c>
      <c r="J64" t="s">
        <v>53</v>
      </c>
      <c r="K64" t="s">
        <v>23</v>
      </c>
      <c r="L64">
        <v>18563</v>
      </c>
      <c r="M64" s="1">
        <v>43525</v>
      </c>
      <c r="N64" t="s">
        <v>24</v>
      </c>
      <c r="Q64" s="1"/>
      <c r="R64">
        <v>1900001394</v>
      </c>
      <c r="S64" s="1">
        <v>43677</v>
      </c>
      <c r="T64" t="s">
        <v>216</v>
      </c>
      <c r="V64" s="1"/>
      <c r="AB64" s="1"/>
    </row>
    <row r="65" spans="1:28" x14ac:dyDescent="0.25">
      <c r="A65" t="s">
        <v>96</v>
      </c>
      <c r="B65" t="s">
        <v>188</v>
      </c>
      <c r="D65" s="1"/>
      <c r="E65" s="1"/>
      <c r="I65" t="s">
        <v>22</v>
      </c>
      <c r="J65" t="s">
        <v>40</v>
      </c>
      <c r="L65">
        <v>27435</v>
      </c>
      <c r="M65" s="1">
        <v>43488</v>
      </c>
      <c r="N65" t="s">
        <v>24</v>
      </c>
      <c r="Q65" s="1"/>
      <c r="R65">
        <v>1900001396</v>
      </c>
      <c r="S65" s="1">
        <v>43677</v>
      </c>
      <c r="T65" t="s">
        <v>218</v>
      </c>
      <c r="V65" s="1"/>
      <c r="AB65" s="1"/>
    </row>
    <row r="66" spans="1:28" x14ac:dyDescent="0.25">
      <c r="A66" t="s">
        <v>219</v>
      </c>
      <c r="B66" t="s">
        <v>205</v>
      </c>
      <c r="D66" s="1"/>
      <c r="E66" s="1"/>
      <c r="I66" t="s">
        <v>22</v>
      </c>
      <c r="J66" t="s">
        <v>40</v>
      </c>
      <c r="K66" t="s">
        <v>23</v>
      </c>
      <c r="L66">
        <v>25336</v>
      </c>
      <c r="M66" s="1">
        <v>43522</v>
      </c>
      <c r="N66" t="s">
        <v>24</v>
      </c>
      <c r="Q66" s="1"/>
      <c r="R66">
        <v>1900001397</v>
      </c>
      <c r="S66" s="1">
        <v>43677</v>
      </c>
      <c r="T66" t="s">
        <v>218</v>
      </c>
      <c r="V66" s="1"/>
      <c r="AB66" s="1"/>
    </row>
    <row r="67" spans="1:28" x14ac:dyDescent="0.25">
      <c r="A67" t="s">
        <v>219</v>
      </c>
      <c r="B67" t="s">
        <v>206</v>
      </c>
      <c r="D67" s="1"/>
      <c r="E67" s="1"/>
      <c r="I67" t="s">
        <v>22</v>
      </c>
      <c r="J67" t="s">
        <v>40</v>
      </c>
      <c r="L67">
        <v>10772</v>
      </c>
      <c r="M67" s="1">
        <v>43538</v>
      </c>
      <c r="N67" t="s">
        <v>24</v>
      </c>
      <c r="Q67" s="1"/>
      <c r="R67">
        <v>1900001398</v>
      </c>
      <c r="S67" s="1">
        <v>43677</v>
      </c>
      <c r="T67" t="s">
        <v>218</v>
      </c>
      <c r="V67" s="1"/>
      <c r="AB67" s="1"/>
    </row>
    <row r="68" spans="1:28" x14ac:dyDescent="0.25">
      <c r="A68" t="s">
        <v>219</v>
      </c>
      <c r="B68" t="s">
        <v>206</v>
      </c>
      <c r="D68" s="1"/>
      <c r="E68" s="1"/>
      <c r="I68" t="s">
        <v>22</v>
      </c>
      <c r="J68" t="s">
        <v>40</v>
      </c>
      <c r="L68">
        <v>9283</v>
      </c>
      <c r="M68" s="1">
        <v>43573</v>
      </c>
      <c r="N68" t="s">
        <v>24</v>
      </c>
      <c r="Q68" s="1"/>
      <c r="R68">
        <v>1900001403</v>
      </c>
      <c r="S68" s="1">
        <v>43677</v>
      </c>
      <c r="T68" t="s">
        <v>218</v>
      </c>
      <c r="V68" s="1"/>
      <c r="AB68" s="1"/>
    </row>
    <row r="69" spans="1:28" x14ac:dyDescent="0.25">
      <c r="A69" t="s">
        <v>219</v>
      </c>
      <c r="B69" t="s">
        <v>206</v>
      </c>
      <c r="D69" s="1"/>
      <c r="E69" s="1"/>
      <c r="I69" t="s">
        <v>22</v>
      </c>
      <c r="J69" t="s">
        <v>40</v>
      </c>
      <c r="L69">
        <v>6903</v>
      </c>
      <c r="M69" s="1">
        <v>43615</v>
      </c>
      <c r="N69" t="s">
        <v>24</v>
      </c>
      <c r="Q69" s="1"/>
      <c r="R69">
        <v>1900001404</v>
      </c>
      <c r="S69" s="1">
        <v>43677</v>
      </c>
      <c r="T69" t="s">
        <v>218</v>
      </c>
      <c r="V69" s="1"/>
      <c r="AB69" s="1"/>
    </row>
    <row r="70" spans="1:28" x14ac:dyDescent="0.25">
      <c r="A70" t="s">
        <v>72</v>
      </c>
      <c r="B70" t="s">
        <v>180</v>
      </c>
      <c r="D70" s="1"/>
      <c r="E70" s="1"/>
      <c r="I70" t="s">
        <v>22</v>
      </c>
      <c r="J70" t="s">
        <v>33</v>
      </c>
      <c r="K70" t="s">
        <v>23</v>
      </c>
      <c r="L70">
        <v>90663</v>
      </c>
      <c r="M70" s="1">
        <v>43556</v>
      </c>
      <c r="N70" t="s">
        <v>24</v>
      </c>
      <c r="Q70" s="1"/>
      <c r="R70">
        <v>1900001405</v>
      </c>
      <c r="S70" s="1">
        <v>43677</v>
      </c>
      <c r="T70" t="s">
        <v>212</v>
      </c>
      <c r="V70" s="1"/>
      <c r="AB70" s="1"/>
    </row>
    <row r="71" spans="1:28" x14ac:dyDescent="0.25">
      <c r="A71" t="s">
        <v>84</v>
      </c>
      <c r="B71" t="s">
        <v>201</v>
      </c>
      <c r="D71" s="1"/>
      <c r="E71" s="1"/>
      <c r="I71" t="s">
        <v>22</v>
      </c>
      <c r="J71" t="s">
        <v>40</v>
      </c>
      <c r="K71" t="s">
        <v>23</v>
      </c>
      <c r="L71">
        <v>156000</v>
      </c>
      <c r="M71" s="1">
        <v>43469</v>
      </c>
      <c r="N71" t="s">
        <v>24</v>
      </c>
      <c r="Q71" s="1"/>
      <c r="R71">
        <v>1900001583</v>
      </c>
      <c r="S71" s="1">
        <v>43691</v>
      </c>
      <c r="T71" t="s">
        <v>218</v>
      </c>
      <c r="V71" s="1"/>
      <c r="AB71" s="1"/>
    </row>
    <row r="72" spans="1:28" x14ac:dyDescent="0.25">
      <c r="A72" t="s">
        <v>88</v>
      </c>
      <c r="B72" t="s">
        <v>203</v>
      </c>
      <c r="D72" s="1"/>
      <c r="E72" s="1"/>
      <c r="H72">
        <v>1</v>
      </c>
      <c r="I72" t="s">
        <v>22</v>
      </c>
      <c r="J72" t="s">
        <v>53</v>
      </c>
      <c r="K72" t="s">
        <v>54</v>
      </c>
      <c r="L72">
        <v>21157</v>
      </c>
      <c r="M72" s="1">
        <v>43466</v>
      </c>
      <c r="N72" t="s">
        <v>24</v>
      </c>
      <c r="Q72" s="1"/>
      <c r="R72">
        <v>1900001602</v>
      </c>
      <c r="S72" s="1">
        <v>43694</v>
      </c>
      <c r="T72" t="s">
        <v>21</v>
      </c>
      <c r="V72" s="1"/>
      <c r="AB72" s="1"/>
    </row>
    <row r="73" spans="1:28" x14ac:dyDescent="0.25">
      <c r="A73" t="s">
        <v>36</v>
      </c>
      <c r="B73" t="s">
        <v>94</v>
      </c>
      <c r="D73" s="1"/>
      <c r="E73" s="1"/>
      <c r="H73">
        <v>1</v>
      </c>
      <c r="I73" t="s">
        <v>22</v>
      </c>
      <c r="J73" t="s">
        <v>53</v>
      </c>
      <c r="K73" t="s">
        <v>54</v>
      </c>
      <c r="L73">
        <v>77787</v>
      </c>
      <c r="M73" s="1">
        <v>43466</v>
      </c>
      <c r="N73" t="s">
        <v>24</v>
      </c>
      <c r="Q73" s="1"/>
      <c r="R73">
        <v>1900001603</v>
      </c>
      <c r="S73" s="1">
        <v>43694</v>
      </c>
      <c r="T73" t="s">
        <v>21</v>
      </c>
      <c r="V73" s="1"/>
      <c r="AB73" s="1"/>
    </row>
    <row r="74" spans="1:28" x14ac:dyDescent="0.25">
      <c r="A74" t="s">
        <v>66</v>
      </c>
      <c r="B74" t="s">
        <v>146</v>
      </c>
      <c r="D74" s="1"/>
      <c r="E74" s="1"/>
      <c r="H74">
        <v>1</v>
      </c>
      <c r="I74" t="s">
        <v>22</v>
      </c>
      <c r="J74" t="s">
        <v>53</v>
      </c>
      <c r="K74" t="s">
        <v>54</v>
      </c>
      <c r="L74">
        <v>8468</v>
      </c>
      <c r="M74" s="1">
        <v>43514</v>
      </c>
      <c r="N74" t="s">
        <v>24</v>
      </c>
      <c r="Q74" s="1"/>
      <c r="R74">
        <v>1900001604</v>
      </c>
      <c r="S74" s="1">
        <v>43694</v>
      </c>
      <c r="T74" t="s">
        <v>21</v>
      </c>
      <c r="V74" s="1"/>
      <c r="AB74" s="1"/>
    </row>
    <row r="75" spans="1:28" x14ac:dyDescent="0.25">
      <c r="A75" t="s">
        <v>17</v>
      </c>
      <c r="B75" t="s">
        <v>37</v>
      </c>
      <c r="D75" s="1"/>
      <c r="E75" s="1"/>
      <c r="I75" t="s">
        <v>22</v>
      </c>
      <c r="J75" t="s">
        <v>40</v>
      </c>
      <c r="K75" t="s">
        <v>23</v>
      </c>
      <c r="L75">
        <v>1825</v>
      </c>
      <c r="M75" s="1">
        <v>43497</v>
      </c>
      <c r="N75" t="s">
        <v>24</v>
      </c>
      <c r="Q75" s="1"/>
      <c r="R75">
        <v>1900001605</v>
      </c>
      <c r="S75" s="1">
        <v>43694</v>
      </c>
      <c r="T75" t="s">
        <v>218</v>
      </c>
      <c r="V75" s="1"/>
      <c r="AB75" s="1"/>
    </row>
    <row r="76" spans="1:28" x14ac:dyDescent="0.25">
      <c r="A76" t="s">
        <v>219</v>
      </c>
      <c r="B76" t="s">
        <v>206</v>
      </c>
      <c r="D76" s="1"/>
      <c r="E76" s="1"/>
      <c r="I76" t="s">
        <v>22</v>
      </c>
      <c r="J76" t="s">
        <v>40</v>
      </c>
      <c r="K76" t="s">
        <v>23</v>
      </c>
      <c r="L76">
        <v>329250</v>
      </c>
      <c r="M76" s="1">
        <v>43524</v>
      </c>
      <c r="N76" t="s">
        <v>24</v>
      </c>
      <c r="Q76" s="1"/>
      <c r="R76">
        <v>1900001606</v>
      </c>
      <c r="S76" s="1">
        <v>43694</v>
      </c>
      <c r="T76" t="s">
        <v>218</v>
      </c>
      <c r="V76" s="1"/>
      <c r="AB76" s="1"/>
    </row>
    <row r="77" spans="1:28" x14ac:dyDescent="0.25">
      <c r="A77" t="s">
        <v>66</v>
      </c>
      <c r="B77">
        <v>304003763</v>
      </c>
      <c r="D77" s="1"/>
      <c r="E77" s="1"/>
      <c r="I77" t="s">
        <v>22</v>
      </c>
      <c r="J77" t="s">
        <v>53</v>
      </c>
      <c r="K77" t="s">
        <v>23</v>
      </c>
      <c r="L77">
        <v>344794</v>
      </c>
      <c r="M77" s="1">
        <v>43556</v>
      </c>
      <c r="N77" t="s">
        <v>24</v>
      </c>
      <c r="Q77" s="1"/>
      <c r="R77">
        <v>1900001607</v>
      </c>
      <c r="S77" s="1">
        <v>43694</v>
      </c>
      <c r="T77" t="s">
        <v>216</v>
      </c>
      <c r="V77" s="1"/>
      <c r="AB77" s="1"/>
    </row>
    <row r="78" spans="1:28" x14ac:dyDescent="0.25">
      <c r="A78" t="s">
        <v>66</v>
      </c>
      <c r="B78" t="s">
        <v>139</v>
      </c>
      <c r="D78" s="1"/>
      <c r="E78" s="1"/>
      <c r="I78" t="s">
        <v>22</v>
      </c>
      <c r="J78" t="s">
        <v>53</v>
      </c>
      <c r="K78" t="s">
        <v>23</v>
      </c>
      <c r="L78">
        <v>37500</v>
      </c>
      <c r="M78" s="1">
        <v>43556</v>
      </c>
      <c r="N78" t="s">
        <v>24</v>
      </c>
      <c r="Q78" s="1"/>
      <c r="R78">
        <v>1900001608</v>
      </c>
      <c r="S78" s="1">
        <v>43694</v>
      </c>
      <c r="T78" t="s">
        <v>216</v>
      </c>
      <c r="V78" s="1"/>
      <c r="AB78" s="1"/>
    </row>
    <row r="79" spans="1:28" x14ac:dyDescent="0.25">
      <c r="A79" t="s">
        <v>96</v>
      </c>
      <c r="B79" t="s">
        <v>189</v>
      </c>
      <c r="D79" s="1"/>
      <c r="E79" s="1"/>
      <c r="I79" t="s">
        <v>22</v>
      </c>
      <c r="J79" t="s">
        <v>40</v>
      </c>
      <c r="K79" t="s">
        <v>23</v>
      </c>
      <c r="L79">
        <v>49789</v>
      </c>
      <c r="M79" s="1">
        <v>43466</v>
      </c>
      <c r="N79" t="s">
        <v>24</v>
      </c>
      <c r="Q79" s="1"/>
      <c r="R79">
        <v>1900001609</v>
      </c>
      <c r="S79" s="1">
        <v>43694</v>
      </c>
      <c r="T79" t="s">
        <v>218</v>
      </c>
      <c r="V79" s="1"/>
      <c r="AB79" s="1"/>
    </row>
    <row r="80" spans="1:28" x14ac:dyDescent="0.25">
      <c r="A80" t="s">
        <v>47</v>
      </c>
      <c r="B80" t="s">
        <v>115</v>
      </c>
      <c r="D80" s="1"/>
      <c r="E80" s="1"/>
      <c r="I80" t="s">
        <v>22</v>
      </c>
      <c r="J80" t="s">
        <v>53</v>
      </c>
      <c r="K80" t="s">
        <v>23</v>
      </c>
      <c r="L80">
        <v>64</v>
      </c>
      <c r="M80" s="1">
        <v>43540</v>
      </c>
      <c r="N80" t="s">
        <v>24</v>
      </c>
      <c r="Q80" s="1"/>
      <c r="R80">
        <v>1900001610</v>
      </c>
      <c r="S80" s="1">
        <v>43694</v>
      </c>
      <c r="T80" t="s">
        <v>216</v>
      </c>
      <c r="V80" s="1"/>
      <c r="AB80" s="1"/>
    </row>
    <row r="81" spans="1:28" x14ac:dyDescent="0.25">
      <c r="A81" t="s">
        <v>57</v>
      </c>
      <c r="B81" t="s">
        <v>130</v>
      </c>
      <c r="D81" s="1"/>
      <c r="E81" s="1"/>
      <c r="I81" t="s">
        <v>22</v>
      </c>
      <c r="J81" t="s">
        <v>53</v>
      </c>
      <c r="K81" t="s">
        <v>23</v>
      </c>
      <c r="L81">
        <v>6250</v>
      </c>
      <c r="M81" s="1">
        <v>43520</v>
      </c>
      <c r="N81" t="s">
        <v>24</v>
      </c>
      <c r="Q81" s="1"/>
      <c r="R81">
        <v>1900001611</v>
      </c>
      <c r="S81" s="1">
        <v>43694</v>
      </c>
      <c r="T81" t="s">
        <v>216</v>
      </c>
      <c r="V81" s="1"/>
      <c r="AB81" s="1"/>
    </row>
    <row r="82" spans="1:28" x14ac:dyDescent="0.25">
      <c r="A82" t="s">
        <v>84</v>
      </c>
      <c r="B82">
        <v>1.31000501801E+19</v>
      </c>
      <c r="D82" s="1"/>
      <c r="E82" s="1"/>
      <c r="I82" t="s">
        <v>22</v>
      </c>
      <c r="J82" t="s">
        <v>85</v>
      </c>
      <c r="K82" t="s">
        <v>23</v>
      </c>
      <c r="L82">
        <v>124875</v>
      </c>
      <c r="M82" s="1">
        <v>43531</v>
      </c>
      <c r="N82" t="s">
        <v>24</v>
      </c>
      <c r="Q82" s="1"/>
      <c r="R82">
        <v>1900002041</v>
      </c>
      <c r="S82" s="1">
        <v>43705</v>
      </c>
      <c r="T82" t="s">
        <v>220</v>
      </c>
      <c r="V82" s="1"/>
      <c r="AB82" s="1"/>
    </row>
    <row r="83" spans="1:28" x14ac:dyDescent="0.25">
      <c r="A83" t="s">
        <v>96</v>
      </c>
      <c r="B83">
        <v>43190133</v>
      </c>
      <c r="D83" s="1"/>
      <c r="E83" s="1"/>
      <c r="H83">
        <v>3</v>
      </c>
      <c r="I83" t="s">
        <v>22</v>
      </c>
      <c r="J83" t="s">
        <v>35</v>
      </c>
      <c r="K83" t="s">
        <v>54</v>
      </c>
      <c r="L83">
        <v>7783</v>
      </c>
      <c r="M83" s="1">
        <v>43627</v>
      </c>
      <c r="N83" t="s">
        <v>24</v>
      </c>
      <c r="Q83" s="1"/>
      <c r="R83">
        <v>1900002042</v>
      </c>
      <c r="S83" s="1">
        <v>43705</v>
      </c>
      <c r="T83" t="s">
        <v>52</v>
      </c>
      <c r="V83" s="1"/>
      <c r="AB83" s="1"/>
    </row>
    <row r="84" spans="1:28" x14ac:dyDescent="0.25">
      <c r="A84" t="s">
        <v>96</v>
      </c>
      <c r="B84">
        <v>43189992</v>
      </c>
      <c r="D84" s="1"/>
      <c r="E84" s="1"/>
      <c r="H84">
        <v>3</v>
      </c>
      <c r="I84" t="s">
        <v>22</v>
      </c>
      <c r="J84" t="s">
        <v>35</v>
      </c>
      <c r="K84" t="s">
        <v>54</v>
      </c>
      <c r="L84">
        <v>7835</v>
      </c>
      <c r="M84" s="1">
        <v>43626</v>
      </c>
      <c r="N84" t="s">
        <v>24</v>
      </c>
      <c r="Q84" s="1"/>
      <c r="R84">
        <v>1900002043</v>
      </c>
      <c r="S84" s="1">
        <v>43705</v>
      </c>
      <c r="T84" t="s">
        <v>52</v>
      </c>
      <c r="V84" s="1"/>
      <c r="AB84" s="1"/>
    </row>
    <row r="85" spans="1:28" x14ac:dyDescent="0.25">
      <c r="A85" t="s">
        <v>46</v>
      </c>
      <c r="B85">
        <v>41045400</v>
      </c>
      <c r="D85" s="1"/>
      <c r="E85" s="1"/>
      <c r="I85" t="s">
        <v>22</v>
      </c>
      <c r="J85" t="s">
        <v>35</v>
      </c>
      <c r="K85" t="s">
        <v>28</v>
      </c>
      <c r="L85">
        <v>70125</v>
      </c>
      <c r="M85" s="1">
        <v>43543</v>
      </c>
      <c r="N85" t="s">
        <v>24</v>
      </c>
      <c r="Q85" s="1"/>
      <c r="R85">
        <v>1900002044</v>
      </c>
      <c r="S85" s="1">
        <v>43705</v>
      </c>
      <c r="T85" t="s">
        <v>217</v>
      </c>
      <c r="V85" s="1"/>
      <c r="AB85" s="1"/>
    </row>
    <row r="86" spans="1:28" x14ac:dyDescent="0.25">
      <c r="A86" t="s">
        <v>46</v>
      </c>
      <c r="B86">
        <v>41045403</v>
      </c>
      <c r="D86" s="1"/>
      <c r="E86" s="1"/>
      <c r="I86" t="s">
        <v>22</v>
      </c>
      <c r="J86" t="s">
        <v>35</v>
      </c>
      <c r="K86" t="s">
        <v>28</v>
      </c>
      <c r="L86">
        <v>70125</v>
      </c>
      <c r="M86" s="1">
        <v>43543</v>
      </c>
      <c r="N86" t="s">
        <v>24</v>
      </c>
      <c r="Q86" s="1"/>
      <c r="R86">
        <v>1900002045</v>
      </c>
      <c r="S86" s="1">
        <v>43705</v>
      </c>
      <c r="T86" t="s">
        <v>217</v>
      </c>
      <c r="V86" s="1"/>
      <c r="AB86" s="1"/>
    </row>
    <row r="87" spans="1:28" x14ac:dyDescent="0.25">
      <c r="A87" t="s">
        <v>72</v>
      </c>
      <c r="B87" t="s">
        <v>181</v>
      </c>
      <c r="D87" s="1"/>
      <c r="E87" s="1"/>
      <c r="I87" t="s">
        <v>22</v>
      </c>
      <c r="J87" t="s">
        <v>45</v>
      </c>
      <c r="K87" t="s">
        <v>23</v>
      </c>
      <c r="L87">
        <v>60229</v>
      </c>
      <c r="M87" s="1">
        <v>43556</v>
      </c>
      <c r="N87" t="s">
        <v>24</v>
      </c>
      <c r="Q87" s="1"/>
      <c r="R87">
        <v>1900002046</v>
      </c>
      <c r="S87" s="1">
        <v>43705</v>
      </c>
      <c r="T87" t="s">
        <v>212</v>
      </c>
      <c r="V87" s="1"/>
      <c r="AB87" s="1"/>
    </row>
    <row r="88" spans="1:28" x14ac:dyDescent="0.25">
      <c r="A88" t="s">
        <v>72</v>
      </c>
      <c r="B88" t="s">
        <v>168</v>
      </c>
      <c r="D88" s="1"/>
      <c r="E88" s="1"/>
      <c r="I88" t="s">
        <v>22</v>
      </c>
      <c r="J88" t="s">
        <v>45</v>
      </c>
      <c r="K88" t="s">
        <v>23</v>
      </c>
      <c r="L88">
        <v>98931</v>
      </c>
      <c r="M88" s="1">
        <v>43481</v>
      </c>
      <c r="N88" t="s">
        <v>24</v>
      </c>
      <c r="Q88" s="1"/>
      <c r="R88">
        <v>1900002047</v>
      </c>
      <c r="S88" s="1">
        <v>43705</v>
      </c>
      <c r="T88" t="s">
        <v>212</v>
      </c>
      <c r="V88" s="1"/>
      <c r="AB88" s="1"/>
    </row>
    <row r="89" spans="1:28" x14ac:dyDescent="0.25">
      <c r="A89" t="s">
        <v>17</v>
      </c>
      <c r="B89" t="s">
        <v>55</v>
      </c>
      <c r="D89" s="1"/>
      <c r="E89" s="1"/>
      <c r="H89">
        <v>1</v>
      </c>
      <c r="I89" t="s">
        <v>22</v>
      </c>
      <c r="J89" t="s">
        <v>53</v>
      </c>
      <c r="K89" t="s">
        <v>54</v>
      </c>
      <c r="L89">
        <v>21769</v>
      </c>
      <c r="M89" s="1">
        <v>43466</v>
      </c>
      <c r="N89" t="s">
        <v>24</v>
      </c>
      <c r="Q89" s="1"/>
      <c r="R89">
        <v>1900002048</v>
      </c>
      <c r="S89" s="1">
        <v>43705</v>
      </c>
      <c r="T89" t="s">
        <v>21</v>
      </c>
      <c r="V89" s="1"/>
      <c r="AB89" s="1"/>
    </row>
    <row r="90" spans="1:28" x14ac:dyDescent="0.25">
      <c r="A90" t="s">
        <v>47</v>
      </c>
      <c r="B90" t="s">
        <v>118</v>
      </c>
      <c r="D90" s="1"/>
      <c r="E90" s="1"/>
      <c r="I90" t="s">
        <v>22</v>
      </c>
      <c r="J90" t="s">
        <v>53</v>
      </c>
      <c r="K90" t="s">
        <v>23</v>
      </c>
      <c r="L90">
        <v>65369</v>
      </c>
      <c r="M90" s="1">
        <v>43572</v>
      </c>
      <c r="N90" t="s">
        <v>24</v>
      </c>
      <c r="Q90" s="1"/>
      <c r="R90">
        <v>1900002049</v>
      </c>
      <c r="S90" s="1">
        <v>43705</v>
      </c>
      <c r="T90" t="s">
        <v>216</v>
      </c>
      <c r="V90" s="1"/>
      <c r="AB90" s="1"/>
    </row>
    <row r="91" spans="1:28" x14ac:dyDescent="0.25">
      <c r="A91" t="s">
        <v>41</v>
      </c>
      <c r="B91">
        <v>304003761</v>
      </c>
      <c r="D91" s="1"/>
      <c r="E91" s="1"/>
      <c r="I91" t="s">
        <v>22</v>
      </c>
      <c r="J91" t="s">
        <v>53</v>
      </c>
      <c r="K91" t="s">
        <v>23</v>
      </c>
      <c r="L91">
        <v>5206</v>
      </c>
      <c r="M91" s="1">
        <v>43556</v>
      </c>
      <c r="N91" t="s">
        <v>24</v>
      </c>
      <c r="Q91" s="1"/>
      <c r="R91">
        <v>1900002050</v>
      </c>
      <c r="S91" s="1">
        <v>43705</v>
      </c>
      <c r="T91" t="s">
        <v>216</v>
      </c>
      <c r="V91" s="1"/>
      <c r="AB91" s="1"/>
    </row>
    <row r="92" spans="1:28" x14ac:dyDescent="0.25">
      <c r="A92" t="s">
        <v>67</v>
      </c>
      <c r="B92" t="s">
        <v>153</v>
      </c>
      <c r="D92" s="1"/>
      <c r="E92" s="1"/>
      <c r="I92" t="s">
        <v>22</v>
      </c>
      <c r="J92" t="s">
        <v>53</v>
      </c>
      <c r="K92" t="s">
        <v>23</v>
      </c>
      <c r="L92">
        <v>23750</v>
      </c>
      <c r="M92" s="1">
        <v>43533</v>
      </c>
      <c r="N92" t="s">
        <v>24</v>
      </c>
      <c r="Q92" s="1"/>
      <c r="R92">
        <v>1900002051</v>
      </c>
      <c r="S92" s="1">
        <v>43705</v>
      </c>
      <c r="T92" t="s">
        <v>216</v>
      </c>
      <c r="V92" s="1"/>
      <c r="AB92" s="1"/>
    </row>
    <row r="93" spans="1:28" x14ac:dyDescent="0.25">
      <c r="A93" t="s">
        <v>47</v>
      </c>
      <c r="B93" t="s">
        <v>116</v>
      </c>
      <c r="D93" s="1"/>
      <c r="E93" s="1"/>
      <c r="I93" t="s">
        <v>22</v>
      </c>
      <c r="J93" t="s">
        <v>53</v>
      </c>
      <c r="K93" t="s">
        <v>23</v>
      </c>
      <c r="L93">
        <v>1557</v>
      </c>
      <c r="M93" s="1">
        <v>43571</v>
      </c>
      <c r="N93" t="s">
        <v>24</v>
      </c>
      <c r="Q93" s="1"/>
      <c r="R93">
        <v>1900002052</v>
      </c>
      <c r="S93" s="1">
        <v>43705</v>
      </c>
      <c r="T93" t="s">
        <v>216</v>
      </c>
      <c r="V93" s="1"/>
      <c r="AB93" s="1"/>
    </row>
    <row r="94" spans="1:28" x14ac:dyDescent="0.25">
      <c r="A94" t="s">
        <v>72</v>
      </c>
      <c r="B94" t="s">
        <v>179</v>
      </c>
      <c r="D94" s="1"/>
      <c r="E94" s="1"/>
      <c r="H94">
        <v>13</v>
      </c>
      <c r="I94" t="s">
        <v>22</v>
      </c>
      <c r="J94" t="s">
        <v>33</v>
      </c>
      <c r="K94" t="s">
        <v>54</v>
      </c>
      <c r="L94">
        <v>40960</v>
      </c>
      <c r="M94" s="1">
        <v>43575</v>
      </c>
      <c r="N94" t="s">
        <v>24</v>
      </c>
      <c r="Q94" s="1"/>
      <c r="R94">
        <v>1900002072</v>
      </c>
      <c r="S94" s="1">
        <v>43705</v>
      </c>
      <c r="T94" t="s">
        <v>212</v>
      </c>
      <c r="V94" s="1"/>
      <c r="AB94" s="1"/>
    </row>
    <row r="95" spans="1:28" x14ac:dyDescent="0.25">
      <c r="A95" t="s">
        <v>72</v>
      </c>
      <c r="B95" t="s">
        <v>177</v>
      </c>
      <c r="D95" s="1"/>
      <c r="E95" s="1"/>
      <c r="I95" t="s">
        <v>22</v>
      </c>
      <c r="J95" t="s">
        <v>33</v>
      </c>
      <c r="K95" t="s">
        <v>23</v>
      </c>
      <c r="L95">
        <v>12055</v>
      </c>
      <c r="M95" s="1">
        <v>43510</v>
      </c>
      <c r="N95" t="s">
        <v>24</v>
      </c>
      <c r="Q95" s="1"/>
      <c r="R95">
        <v>1900002229</v>
      </c>
      <c r="S95" s="1">
        <v>43708</v>
      </c>
      <c r="T95" t="s">
        <v>212</v>
      </c>
      <c r="V95" s="1"/>
      <c r="AB95" s="1"/>
    </row>
    <row r="96" spans="1:28" x14ac:dyDescent="0.25">
      <c r="A96" t="s">
        <v>72</v>
      </c>
      <c r="B96" t="s">
        <v>170</v>
      </c>
      <c r="D96" s="1"/>
      <c r="E96" s="1"/>
      <c r="I96" t="s">
        <v>22</v>
      </c>
      <c r="J96" t="s">
        <v>45</v>
      </c>
      <c r="K96" t="s">
        <v>23</v>
      </c>
      <c r="L96">
        <v>131090</v>
      </c>
      <c r="M96" s="1">
        <v>43522</v>
      </c>
      <c r="N96" t="s">
        <v>24</v>
      </c>
      <c r="Q96" s="1"/>
      <c r="R96">
        <v>1900002230</v>
      </c>
      <c r="S96" s="1">
        <v>43708</v>
      </c>
      <c r="T96" t="s">
        <v>212</v>
      </c>
      <c r="V96" s="1"/>
      <c r="AB96" s="1"/>
    </row>
    <row r="97" spans="1:28" x14ac:dyDescent="0.25">
      <c r="A97" t="s">
        <v>72</v>
      </c>
      <c r="B97" t="s">
        <v>178</v>
      </c>
      <c r="D97" s="1"/>
      <c r="E97" s="1"/>
      <c r="I97" t="s">
        <v>22</v>
      </c>
      <c r="J97" t="s">
        <v>33</v>
      </c>
      <c r="K97" t="s">
        <v>23</v>
      </c>
      <c r="L97">
        <v>27069</v>
      </c>
      <c r="M97" s="1">
        <v>43510</v>
      </c>
      <c r="N97" t="s">
        <v>24</v>
      </c>
      <c r="Q97" s="1"/>
      <c r="R97">
        <v>1900002232</v>
      </c>
      <c r="S97" s="1">
        <v>43708</v>
      </c>
      <c r="T97" t="s">
        <v>212</v>
      </c>
      <c r="V97" s="1"/>
      <c r="AB97" s="1"/>
    </row>
    <row r="98" spans="1:28" x14ac:dyDescent="0.25">
      <c r="A98" t="s">
        <v>66</v>
      </c>
      <c r="B98" t="s">
        <v>142</v>
      </c>
      <c r="D98" s="1"/>
      <c r="E98" s="1"/>
      <c r="I98" t="s">
        <v>22</v>
      </c>
      <c r="J98" t="s">
        <v>53</v>
      </c>
      <c r="K98" t="s">
        <v>23</v>
      </c>
      <c r="L98">
        <v>215165</v>
      </c>
      <c r="M98" s="1">
        <v>43556</v>
      </c>
      <c r="N98" t="s">
        <v>24</v>
      </c>
      <c r="Q98" s="1"/>
      <c r="R98">
        <v>1900002265</v>
      </c>
      <c r="S98" s="1">
        <v>43708</v>
      </c>
      <c r="T98" t="s">
        <v>216</v>
      </c>
      <c r="V98" s="1"/>
      <c r="AB98" s="1"/>
    </row>
    <row r="99" spans="1:28" x14ac:dyDescent="0.25">
      <c r="A99" t="s">
        <v>72</v>
      </c>
      <c r="B99" t="s">
        <v>164</v>
      </c>
      <c r="D99" s="1"/>
      <c r="E99" s="1"/>
      <c r="I99" t="s">
        <v>22</v>
      </c>
      <c r="J99" t="s">
        <v>53</v>
      </c>
      <c r="K99" t="s">
        <v>23</v>
      </c>
      <c r="L99">
        <v>870</v>
      </c>
      <c r="M99" s="1">
        <v>43611</v>
      </c>
      <c r="N99" t="s">
        <v>24</v>
      </c>
      <c r="Q99" s="1"/>
      <c r="R99">
        <v>1900002331</v>
      </c>
      <c r="S99" s="1">
        <v>43711</v>
      </c>
      <c r="T99" t="s">
        <v>216</v>
      </c>
      <c r="V99" s="1"/>
      <c r="AB99" s="1"/>
    </row>
    <row r="100" spans="1:28" x14ac:dyDescent="0.25">
      <c r="A100" t="s">
        <v>66</v>
      </c>
      <c r="B100">
        <v>2000010048</v>
      </c>
      <c r="D100" s="1"/>
      <c r="E100" s="1"/>
      <c r="I100" t="s">
        <v>22</v>
      </c>
      <c r="J100" t="s">
        <v>85</v>
      </c>
      <c r="L100">
        <v>8174</v>
      </c>
      <c r="M100" s="1">
        <v>43664</v>
      </c>
      <c r="N100" t="s">
        <v>24</v>
      </c>
      <c r="Q100" s="1"/>
      <c r="R100">
        <v>1900002384</v>
      </c>
      <c r="S100" s="1">
        <v>43713</v>
      </c>
      <c r="T100" t="s">
        <v>220</v>
      </c>
      <c r="V100" s="1"/>
      <c r="AB100" s="1"/>
    </row>
    <row r="101" spans="1:28" x14ac:dyDescent="0.25">
      <c r="A101" t="s">
        <v>96</v>
      </c>
      <c r="B101" t="s">
        <v>190</v>
      </c>
      <c r="D101" s="1"/>
      <c r="E101" s="1"/>
      <c r="I101" t="s">
        <v>22</v>
      </c>
      <c r="J101" t="s">
        <v>40</v>
      </c>
      <c r="K101" t="s">
        <v>23</v>
      </c>
      <c r="L101">
        <v>22246</v>
      </c>
      <c r="M101" s="1">
        <v>43660</v>
      </c>
      <c r="N101" t="s">
        <v>24</v>
      </c>
      <c r="Q101" s="1"/>
      <c r="R101">
        <v>1900002387</v>
      </c>
      <c r="S101" s="1">
        <v>43713</v>
      </c>
      <c r="T101" t="s">
        <v>218</v>
      </c>
      <c r="V101" s="1"/>
      <c r="AB101" s="1"/>
    </row>
    <row r="102" spans="1:28" x14ac:dyDescent="0.25">
      <c r="A102" t="s">
        <v>72</v>
      </c>
      <c r="B102">
        <v>43187020</v>
      </c>
      <c r="D102" s="1"/>
      <c r="E102" s="1"/>
      <c r="I102" t="s">
        <v>22</v>
      </c>
      <c r="J102" t="s">
        <v>35</v>
      </c>
      <c r="K102" t="s">
        <v>28</v>
      </c>
      <c r="L102">
        <v>7451</v>
      </c>
      <c r="M102" s="1">
        <v>43577</v>
      </c>
      <c r="N102" t="s">
        <v>24</v>
      </c>
      <c r="Q102" s="1"/>
      <c r="R102">
        <v>1900002458</v>
      </c>
      <c r="S102" s="1">
        <v>43717</v>
      </c>
      <c r="T102" t="s">
        <v>217</v>
      </c>
      <c r="V102" s="1"/>
      <c r="AB102" s="1"/>
    </row>
    <row r="103" spans="1:28" x14ac:dyDescent="0.25">
      <c r="A103" t="s">
        <v>219</v>
      </c>
      <c r="B103" t="s">
        <v>206</v>
      </c>
      <c r="D103" s="1"/>
      <c r="E103" s="1"/>
      <c r="I103" t="s">
        <v>22</v>
      </c>
      <c r="J103" t="s">
        <v>40</v>
      </c>
      <c r="L103">
        <v>7110</v>
      </c>
      <c r="M103" s="1">
        <v>43675</v>
      </c>
      <c r="N103" t="s">
        <v>24</v>
      </c>
      <c r="Q103" s="1"/>
      <c r="R103">
        <v>1900002464</v>
      </c>
      <c r="S103" s="1">
        <v>43717</v>
      </c>
      <c r="T103" t="s">
        <v>218</v>
      </c>
      <c r="V103" s="1"/>
      <c r="AB103" s="1"/>
    </row>
    <row r="104" spans="1:28" x14ac:dyDescent="0.25">
      <c r="A104" t="s">
        <v>72</v>
      </c>
      <c r="B104" t="s">
        <v>162</v>
      </c>
      <c r="D104" s="1"/>
      <c r="E104" s="1"/>
      <c r="I104" t="s">
        <v>22</v>
      </c>
      <c r="J104" t="s">
        <v>53</v>
      </c>
      <c r="K104" t="s">
        <v>23</v>
      </c>
      <c r="L104">
        <v>692</v>
      </c>
      <c r="M104" s="1">
        <v>43600</v>
      </c>
      <c r="N104" t="s">
        <v>24</v>
      </c>
      <c r="Q104" s="1"/>
      <c r="R104">
        <v>1900002472</v>
      </c>
      <c r="S104" s="1">
        <v>43717</v>
      </c>
      <c r="T104" t="s">
        <v>216</v>
      </c>
      <c r="V104" s="1"/>
      <c r="AB104" s="1"/>
    </row>
    <row r="105" spans="1:28" x14ac:dyDescent="0.25">
      <c r="A105" t="s">
        <v>72</v>
      </c>
      <c r="B105" t="s">
        <v>165</v>
      </c>
      <c r="D105" s="1"/>
      <c r="E105" s="1"/>
      <c r="I105" t="s">
        <v>22</v>
      </c>
      <c r="J105" t="s">
        <v>85</v>
      </c>
      <c r="K105" t="s">
        <v>23</v>
      </c>
      <c r="L105">
        <v>65051</v>
      </c>
      <c r="M105" s="1">
        <v>43466</v>
      </c>
      <c r="N105" t="s">
        <v>24</v>
      </c>
      <c r="Q105" s="1"/>
      <c r="R105">
        <v>1900002635</v>
      </c>
      <c r="S105" s="1">
        <v>43725</v>
      </c>
      <c r="T105" t="s">
        <v>220</v>
      </c>
      <c r="V105" s="1"/>
      <c r="AB105" s="1"/>
    </row>
    <row r="106" spans="1:28" x14ac:dyDescent="0.25">
      <c r="A106" t="s">
        <v>66</v>
      </c>
      <c r="B106" t="s">
        <v>141</v>
      </c>
      <c r="D106" s="1"/>
      <c r="E106" s="1"/>
      <c r="I106" t="s">
        <v>22</v>
      </c>
      <c r="J106" t="s">
        <v>53</v>
      </c>
      <c r="K106" t="s">
        <v>23</v>
      </c>
      <c r="L106">
        <v>1005</v>
      </c>
      <c r="M106" s="1">
        <v>43586</v>
      </c>
      <c r="N106" t="s">
        <v>24</v>
      </c>
      <c r="Q106" s="1"/>
      <c r="R106">
        <v>1900002636</v>
      </c>
      <c r="S106" s="1">
        <v>43725</v>
      </c>
      <c r="T106" t="s">
        <v>216</v>
      </c>
      <c r="V106" s="1"/>
      <c r="AB106" s="1"/>
    </row>
    <row r="107" spans="1:28" x14ac:dyDescent="0.25">
      <c r="A107" t="s">
        <v>219</v>
      </c>
      <c r="B107" t="s">
        <v>206</v>
      </c>
      <c r="D107" s="1"/>
      <c r="E107" s="1"/>
      <c r="I107" t="s">
        <v>22</v>
      </c>
      <c r="J107" t="s">
        <v>40</v>
      </c>
      <c r="L107">
        <v>6259</v>
      </c>
      <c r="M107" s="1">
        <v>43637</v>
      </c>
      <c r="N107" t="s">
        <v>24</v>
      </c>
      <c r="Q107" s="1"/>
      <c r="R107">
        <v>1900002637</v>
      </c>
      <c r="S107" s="1">
        <v>43725</v>
      </c>
      <c r="T107" t="s">
        <v>218</v>
      </c>
      <c r="V107" s="1"/>
      <c r="AB107" s="1"/>
    </row>
    <row r="108" spans="1:28" x14ac:dyDescent="0.25">
      <c r="A108" t="s">
        <v>96</v>
      </c>
      <c r="B108" t="s">
        <v>188</v>
      </c>
      <c r="D108" s="1"/>
      <c r="E108" s="1"/>
      <c r="I108" t="s">
        <v>22</v>
      </c>
      <c r="J108" t="s">
        <v>40</v>
      </c>
      <c r="L108">
        <v>9941</v>
      </c>
      <c r="M108" s="1">
        <v>43656</v>
      </c>
      <c r="N108" t="s">
        <v>24</v>
      </c>
      <c r="Q108" s="1"/>
      <c r="R108">
        <v>1900002638</v>
      </c>
      <c r="S108" s="1">
        <v>43725</v>
      </c>
      <c r="T108" t="s">
        <v>218</v>
      </c>
      <c r="V108" s="1"/>
      <c r="AB108" s="1"/>
    </row>
    <row r="109" spans="1:28" x14ac:dyDescent="0.25">
      <c r="A109" t="s">
        <v>66</v>
      </c>
      <c r="B109" t="s">
        <v>140</v>
      </c>
      <c r="D109" s="1"/>
      <c r="E109" s="1"/>
      <c r="H109">
        <v>1</v>
      </c>
      <c r="I109" t="s">
        <v>22</v>
      </c>
      <c r="J109" t="s">
        <v>53</v>
      </c>
      <c r="K109" t="s">
        <v>54</v>
      </c>
      <c r="L109">
        <v>9990</v>
      </c>
      <c r="M109" s="1">
        <v>43608</v>
      </c>
      <c r="N109" t="s">
        <v>24</v>
      </c>
      <c r="Q109" s="1"/>
      <c r="R109">
        <v>1900002639</v>
      </c>
      <c r="S109" s="1">
        <v>43725</v>
      </c>
      <c r="T109" t="s">
        <v>21</v>
      </c>
      <c r="V109" s="1"/>
      <c r="AB109" s="1"/>
    </row>
    <row r="110" spans="1:28" x14ac:dyDescent="0.25">
      <c r="A110" t="s">
        <v>29</v>
      </c>
      <c r="B110" t="s">
        <v>75</v>
      </c>
      <c r="D110" s="1"/>
      <c r="E110" s="1"/>
      <c r="I110" t="s">
        <v>22</v>
      </c>
      <c r="J110" t="s">
        <v>40</v>
      </c>
      <c r="K110" t="s">
        <v>23</v>
      </c>
      <c r="L110">
        <v>74673</v>
      </c>
      <c r="M110" s="1">
        <v>43645</v>
      </c>
      <c r="N110" t="s">
        <v>24</v>
      </c>
      <c r="Q110" s="1"/>
      <c r="R110">
        <v>1900002640</v>
      </c>
      <c r="S110" s="1">
        <v>43725</v>
      </c>
      <c r="T110" t="s">
        <v>218</v>
      </c>
      <c r="V110" s="1"/>
      <c r="AB110" s="1"/>
    </row>
    <row r="111" spans="1:28" x14ac:dyDescent="0.25">
      <c r="A111" t="s">
        <v>47</v>
      </c>
      <c r="B111" t="s">
        <v>117</v>
      </c>
      <c r="D111" s="1"/>
      <c r="E111" s="1"/>
      <c r="I111" t="s">
        <v>22</v>
      </c>
      <c r="J111" t="s">
        <v>53</v>
      </c>
      <c r="K111" t="s">
        <v>23</v>
      </c>
      <c r="L111">
        <v>4362</v>
      </c>
      <c r="M111" s="1">
        <v>43557</v>
      </c>
      <c r="N111" t="s">
        <v>24</v>
      </c>
      <c r="Q111" s="1"/>
      <c r="R111">
        <v>1900002880</v>
      </c>
      <c r="S111" s="1">
        <v>43728</v>
      </c>
      <c r="T111" t="s">
        <v>216</v>
      </c>
      <c r="V111" s="1"/>
      <c r="AB111" s="1"/>
    </row>
    <row r="112" spans="1:28" x14ac:dyDescent="0.25">
      <c r="A112" t="s">
        <v>72</v>
      </c>
      <c r="B112" t="s">
        <v>169</v>
      </c>
      <c r="D112" s="1"/>
      <c r="E112" s="1"/>
      <c r="I112" t="s">
        <v>22</v>
      </c>
      <c r="J112" t="s">
        <v>45</v>
      </c>
      <c r="K112" t="s">
        <v>23</v>
      </c>
      <c r="L112">
        <v>1610</v>
      </c>
      <c r="M112" s="1">
        <v>43510</v>
      </c>
      <c r="N112" t="s">
        <v>24</v>
      </c>
      <c r="Q112" s="1"/>
      <c r="R112">
        <v>1900003129</v>
      </c>
      <c r="S112" s="1">
        <v>43738</v>
      </c>
      <c r="T112" t="s">
        <v>212</v>
      </c>
      <c r="V112" s="1"/>
      <c r="AB112" s="1"/>
    </row>
    <row r="113" spans="1:28" x14ac:dyDescent="0.25">
      <c r="A113" t="s">
        <v>66</v>
      </c>
      <c r="B113">
        <v>3.1142011248201999E+18</v>
      </c>
      <c r="D113" s="1"/>
      <c r="E113" s="1"/>
      <c r="I113" t="s">
        <v>22</v>
      </c>
      <c r="J113" t="s">
        <v>53</v>
      </c>
      <c r="K113" t="s">
        <v>23</v>
      </c>
      <c r="L113">
        <v>20166</v>
      </c>
      <c r="M113" s="1">
        <v>43647</v>
      </c>
      <c r="N113" t="s">
        <v>24</v>
      </c>
      <c r="Q113" s="1"/>
      <c r="R113">
        <v>1900003131</v>
      </c>
      <c r="S113" s="1">
        <v>43738</v>
      </c>
      <c r="T113" t="s">
        <v>216</v>
      </c>
      <c r="V113" s="1"/>
      <c r="AB113" s="1"/>
    </row>
    <row r="114" spans="1:28" x14ac:dyDescent="0.25">
      <c r="A114" t="s">
        <v>29</v>
      </c>
      <c r="B114" t="s">
        <v>74</v>
      </c>
      <c r="D114" s="1"/>
      <c r="E114" s="1"/>
      <c r="I114" t="s">
        <v>22</v>
      </c>
      <c r="J114" t="s">
        <v>40</v>
      </c>
      <c r="K114" t="s">
        <v>23</v>
      </c>
      <c r="L114">
        <v>8605</v>
      </c>
      <c r="M114" s="1">
        <v>43645</v>
      </c>
      <c r="N114" t="s">
        <v>24</v>
      </c>
      <c r="Q114" s="1"/>
      <c r="R114">
        <v>1900003209</v>
      </c>
      <c r="S114" s="1">
        <v>43748</v>
      </c>
      <c r="T114" t="s">
        <v>218</v>
      </c>
      <c r="V114" s="1"/>
      <c r="AB114" s="1"/>
    </row>
    <row r="115" spans="1:28" x14ac:dyDescent="0.25">
      <c r="A115" t="s">
        <v>46</v>
      </c>
      <c r="B115" t="s">
        <v>104</v>
      </c>
      <c r="D115" s="1"/>
      <c r="E115" s="1"/>
      <c r="I115" t="s">
        <v>22</v>
      </c>
      <c r="J115" t="s">
        <v>40</v>
      </c>
      <c r="K115" t="s">
        <v>23</v>
      </c>
      <c r="L115">
        <v>52500</v>
      </c>
      <c r="M115" s="1">
        <v>43602</v>
      </c>
      <c r="N115" t="s">
        <v>24</v>
      </c>
      <c r="Q115" s="1"/>
      <c r="R115">
        <v>1900003210</v>
      </c>
      <c r="S115" s="1">
        <v>43748</v>
      </c>
      <c r="T115" t="s">
        <v>218</v>
      </c>
      <c r="V115" s="1"/>
      <c r="AB115" s="1"/>
    </row>
    <row r="116" spans="1:28" x14ac:dyDescent="0.25">
      <c r="A116" t="s">
        <v>72</v>
      </c>
      <c r="B116" t="s">
        <v>172</v>
      </c>
      <c r="D116" s="1"/>
      <c r="E116" s="1"/>
      <c r="H116">
        <v>13</v>
      </c>
      <c r="I116" t="s">
        <v>22</v>
      </c>
      <c r="J116" t="s">
        <v>35</v>
      </c>
      <c r="K116" t="s">
        <v>54</v>
      </c>
      <c r="L116">
        <v>21875</v>
      </c>
      <c r="M116" s="1">
        <v>43497</v>
      </c>
      <c r="N116" t="s">
        <v>24</v>
      </c>
      <c r="Q116" s="1"/>
      <c r="R116">
        <v>1900003211</v>
      </c>
      <c r="S116" s="1">
        <v>43748</v>
      </c>
      <c r="T116" t="s">
        <v>212</v>
      </c>
      <c r="V116" s="1"/>
      <c r="AB116" s="1"/>
    </row>
    <row r="117" spans="1:28" x14ac:dyDescent="0.25">
      <c r="A117" t="s">
        <v>96</v>
      </c>
      <c r="B117" t="s">
        <v>188</v>
      </c>
      <c r="D117" s="1"/>
      <c r="E117" s="1"/>
      <c r="I117" t="s">
        <v>22</v>
      </c>
      <c r="J117" t="s">
        <v>40</v>
      </c>
      <c r="L117">
        <v>93906</v>
      </c>
      <c r="M117" s="1">
        <v>43531</v>
      </c>
      <c r="N117" t="s">
        <v>24</v>
      </c>
      <c r="Q117" s="1"/>
      <c r="R117">
        <v>1900003212</v>
      </c>
      <c r="S117" s="1">
        <v>43748</v>
      </c>
      <c r="T117" t="s">
        <v>218</v>
      </c>
      <c r="V117" s="1"/>
      <c r="AB117" s="1"/>
    </row>
    <row r="118" spans="1:28" x14ac:dyDescent="0.25">
      <c r="A118" t="s">
        <v>96</v>
      </c>
      <c r="B118">
        <v>54407334</v>
      </c>
      <c r="D118" s="1"/>
      <c r="E118" s="1"/>
      <c r="I118" t="s">
        <v>22</v>
      </c>
      <c r="J118" t="s">
        <v>40</v>
      </c>
      <c r="K118" t="s">
        <v>23</v>
      </c>
      <c r="L118">
        <v>23387</v>
      </c>
      <c r="M118" s="1">
        <v>43466</v>
      </c>
      <c r="N118" t="s">
        <v>24</v>
      </c>
      <c r="Q118" s="1"/>
      <c r="R118">
        <v>1900003213</v>
      </c>
      <c r="S118" s="1">
        <v>43748</v>
      </c>
      <c r="T118" t="s">
        <v>218</v>
      </c>
      <c r="V118" s="1"/>
      <c r="AB118" s="1"/>
    </row>
    <row r="119" spans="1:28" x14ac:dyDescent="0.25">
      <c r="A119" t="s">
        <v>96</v>
      </c>
      <c r="B119" t="s">
        <v>191</v>
      </c>
      <c r="D119" s="1"/>
      <c r="E119" s="1"/>
      <c r="I119" t="s">
        <v>22</v>
      </c>
      <c r="J119" t="s">
        <v>40</v>
      </c>
      <c r="K119" t="s">
        <v>23</v>
      </c>
      <c r="L119">
        <v>3347</v>
      </c>
      <c r="M119" s="1">
        <v>43556</v>
      </c>
      <c r="N119" t="s">
        <v>24</v>
      </c>
      <c r="Q119" s="1"/>
      <c r="R119">
        <v>1900003214</v>
      </c>
      <c r="S119" s="1">
        <v>43748</v>
      </c>
      <c r="T119" t="s">
        <v>218</v>
      </c>
      <c r="V119" s="1"/>
      <c r="AB119" s="1"/>
    </row>
    <row r="120" spans="1:28" x14ac:dyDescent="0.25">
      <c r="A120" t="s">
        <v>64</v>
      </c>
      <c r="B120">
        <v>2.9992028733097999E+18</v>
      </c>
      <c r="D120" s="1"/>
      <c r="E120" s="1"/>
      <c r="H120">
        <v>2</v>
      </c>
      <c r="I120" t="s">
        <v>22</v>
      </c>
      <c r="J120" t="s">
        <v>35</v>
      </c>
      <c r="K120" t="s">
        <v>54</v>
      </c>
      <c r="L120">
        <v>60025</v>
      </c>
      <c r="M120" s="1">
        <v>43654</v>
      </c>
      <c r="N120" t="s">
        <v>24</v>
      </c>
      <c r="Q120" s="1"/>
      <c r="R120">
        <v>1900003404</v>
      </c>
      <c r="S120" s="1">
        <v>43755</v>
      </c>
      <c r="T120" t="s">
        <v>27</v>
      </c>
      <c r="V120" s="1"/>
      <c r="AB120" s="1"/>
    </row>
    <row r="121" spans="1:28" x14ac:dyDescent="0.25">
      <c r="A121" t="s">
        <v>44</v>
      </c>
      <c r="B121" t="s">
        <v>102</v>
      </c>
      <c r="D121" s="1"/>
      <c r="E121" s="1"/>
      <c r="I121" t="s">
        <v>22</v>
      </c>
      <c r="J121" t="s">
        <v>20</v>
      </c>
      <c r="K121" t="s">
        <v>23</v>
      </c>
      <c r="L121">
        <v>13613</v>
      </c>
      <c r="M121" s="1">
        <v>43472</v>
      </c>
      <c r="N121" t="s">
        <v>24</v>
      </c>
      <c r="Q121" s="1"/>
      <c r="R121">
        <v>1900003405</v>
      </c>
      <c r="S121" s="1">
        <v>43755</v>
      </c>
      <c r="T121" t="s">
        <v>212</v>
      </c>
      <c r="V121" s="1"/>
      <c r="AB121" s="1"/>
    </row>
    <row r="122" spans="1:28" x14ac:dyDescent="0.25">
      <c r="A122" t="s">
        <v>17</v>
      </c>
      <c r="B122" t="s">
        <v>42</v>
      </c>
      <c r="D122" s="1"/>
      <c r="E122" s="1"/>
      <c r="I122" t="s">
        <v>22</v>
      </c>
      <c r="J122" t="s">
        <v>40</v>
      </c>
      <c r="K122" t="s">
        <v>28</v>
      </c>
      <c r="L122">
        <v>79834</v>
      </c>
      <c r="M122" s="1">
        <v>43641</v>
      </c>
      <c r="N122" t="s">
        <v>24</v>
      </c>
      <c r="Q122" s="1"/>
      <c r="R122">
        <v>1900003406</v>
      </c>
      <c r="S122" s="1">
        <v>43755</v>
      </c>
      <c r="T122" t="s">
        <v>221</v>
      </c>
      <c r="V122" s="1"/>
      <c r="AB122" s="1"/>
    </row>
    <row r="123" spans="1:28" x14ac:dyDescent="0.25">
      <c r="A123" t="s">
        <v>64</v>
      </c>
      <c r="B123">
        <v>2.9992028732742001E+18</v>
      </c>
      <c r="D123" s="1"/>
      <c r="E123" s="1"/>
      <c r="H123">
        <v>2</v>
      </c>
      <c r="I123" t="s">
        <v>22</v>
      </c>
      <c r="J123" t="s">
        <v>35</v>
      </c>
      <c r="K123" t="s">
        <v>54</v>
      </c>
      <c r="L123">
        <v>60025</v>
      </c>
      <c r="M123" s="1">
        <v>43654</v>
      </c>
      <c r="N123" t="s">
        <v>24</v>
      </c>
      <c r="Q123" s="1"/>
      <c r="R123">
        <v>1900003407</v>
      </c>
      <c r="S123" s="1">
        <v>43755</v>
      </c>
      <c r="T123" t="s">
        <v>27</v>
      </c>
      <c r="V123" s="1"/>
      <c r="AB123" s="1"/>
    </row>
    <row r="124" spans="1:28" x14ac:dyDescent="0.25">
      <c r="A124" t="s">
        <v>66</v>
      </c>
      <c r="B124">
        <v>14055133</v>
      </c>
      <c r="D124" s="1"/>
      <c r="E124" s="1"/>
      <c r="H124">
        <v>10</v>
      </c>
      <c r="I124" t="s">
        <v>22</v>
      </c>
      <c r="J124" t="s">
        <v>35</v>
      </c>
      <c r="K124" t="s">
        <v>54</v>
      </c>
      <c r="L124">
        <v>63000</v>
      </c>
      <c r="M124" s="1">
        <v>43672</v>
      </c>
      <c r="N124" t="s">
        <v>24</v>
      </c>
      <c r="Q124" s="1"/>
      <c r="R124">
        <v>1900003928</v>
      </c>
      <c r="S124" s="1">
        <v>43781</v>
      </c>
      <c r="T124" t="s">
        <v>39</v>
      </c>
      <c r="V124" s="1"/>
      <c r="AB124" s="1"/>
    </row>
    <row r="125" spans="1:28" x14ac:dyDescent="0.25">
      <c r="A125" t="s">
        <v>72</v>
      </c>
      <c r="D125" s="1"/>
      <c r="E125" s="1"/>
      <c r="H125">
        <v>2</v>
      </c>
      <c r="I125" t="s">
        <v>22</v>
      </c>
      <c r="J125" t="s">
        <v>33</v>
      </c>
      <c r="K125" t="s">
        <v>54</v>
      </c>
      <c r="L125">
        <v>100000</v>
      </c>
      <c r="M125" s="1">
        <v>43663</v>
      </c>
      <c r="N125" t="s">
        <v>208</v>
      </c>
      <c r="Q125" s="1"/>
      <c r="R125">
        <v>1900003930</v>
      </c>
      <c r="S125" s="1">
        <v>43781</v>
      </c>
      <c r="T125" t="s">
        <v>27</v>
      </c>
      <c r="V125" s="1"/>
      <c r="AB125" s="1"/>
    </row>
    <row r="126" spans="1:28" x14ac:dyDescent="0.25">
      <c r="A126" t="s">
        <v>72</v>
      </c>
      <c r="D126" s="1"/>
      <c r="E126" s="1"/>
      <c r="H126">
        <v>2</v>
      </c>
      <c r="I126" t="s">
        <v>22</v>
      </c>
      <c r="J126" t="s">
        <v>33</v>
      </c>
      <c r="K126" t="s">
        <v>54</v>
      </c>
      <c r="L126">
        <v>100000</v>
      </c>
      <c r="M126" s="1">
        <v>43486</v>
      </c>
      <c r="N126" t="s">
        <v>208</v>
      </c>
      <c r="Q126" s="1"/>
      <c r="R126">
        <v>1900003931</v>
      </c>
      <c r="S126" s="1">
        <v>43781</v>
      </c>
      <c r="T126" t="s">
        <v>27</v>
      </c>
      <c r="V126" s="1"/>
      <c r="AB126" s="1"/>
    </row>
    <row r="127" spans="1:28" x14ac:dyDescent="0.25">
      <c r="A127" t="s">
        <v>96</v>
      </c>
      <c r="D127" s="1"/>
      <c r="E127" s="1"/>
      <c r="I127" t="s">
        <v>22</v>
      </c>
      <c r="J127" t="s">
        <v>53</v>
      </c>
      <c r="K127" t="s">
        <v>23</v>
      </c>
      <c r="L127">
        <v>254336</v>
      </c>
      <c r="M127" s="1">
        <v>43490</v>
      </c>
      <c r="N127" t="s">
        <v>208</v>
      </c>
      <c r="Q127" s="1"/>
      <c r="R127">
        <v>1900004171</v>
      </c>
      <c r="S127" s="1">
        <v>43795</v>
      </c>
      <c r="T127" t="s">
        <v>216</v>
      </c>
      <c r="V127" s="1"/>
      <c r="AB127" s="1"/>
    </row>
    <row r="128" spans="1:28" x14ac:dyDescent="0.25">
      <c r="A128" t="s">
        <v>47</v>
      </c>
      <c r="D128" s="1"/>
      <c r="E128" s="1"/>
      <c r="I128" t="s">
        <v>22</v>
      </c>
      <c r="J128" t="s">
        <v>53</v>
      </c>
      <c r="K128" t="s">
        <v>23</v>
      </c>
      <c r="L128">
        <v>266949</v>
      </c>
      <c r="M128" s="1">
        <v>43490</v>
      </c>
      <c r="N128" t="s">
        <v>208</v>
      </c>
      <c r="Q128" s="1"/>
      <c r="R128">
        <v>1900004173</v>
      </c>
      <c r="S128" s="1">
        <v>43795</v>
      </c>
      <c r="T128" t="s">
        <v>216</v>
      </c>
      <c r="V128" s="1"/>
      <c r="AB128" s="1"/>
    </row>
    <row r="129" spans="1:28" x14ac:dyDescent="0.25">
      <c r="A129" t="s">
        <v>219</v>
      </c>
      <c r="B129">
        <v>54445288</v>
      </c>
      <c r="D129" s="1"/>
      <c r="E129" s="1"/>
      <c r="I129" t="s">
        <v>22</v>
      </c>
      <c r="J129" t="s">
        <v>40</v>
      </c>
      <c r="K129" t="s">
        <v>23</v>
      </c>
      <c r="L129">
        <v>11111</v>
      </c>
      <c r="M129" s="1">
        <v>43524</v>
      </c>
      <c r="N129" t="s">
        <v>24</v>
      </c>
      <c r="Q129" s="1"/>
      <c r="R129">
        <v>1900004220</v>
      </c>
      <c r="S129" s="1">
        <v>43802</v>
      </c>
      <c r="T129" t="s">
        <v>218</v>
      </c>
      <c r="V129" s="1"/>
      <c r="AB129" s="1"/>
    </row>
    <row r="130" spans="1:28" x14ac:dyDescent="0.25">
      <c r="A130" t="s">
        <v>96</v>
      </c>
      <c r="B130">
        <v>9.9000044190299996E+19</v>
      </c>
      <c r="D130" s="1"/>
      <c r="E130" s="1"/>
      <c r="H130">
        <v>3</v>
      </c>
      <c r="I130" t="s">
        <v>22</v>
      </c>
      <c r="J130" t="s">
        <v>33</v>
      </c>
      <c r="K130" t="s">
        <v>54</v>
      </c>
      <c r="L130">
        <v>3008</v>
      </c>
      <c r="M130" s="1">
        <v>43567</v>
      </c>
      <c r="N130" t="s">
        <v>24</v>
      </c>
      <c r="Q130" s="1"/>
      <c r="R130">
        <v>1900004221</v>
      </c>
      <c r="S130" s="1">
        <v>43802</v>
      </c>
      <c r="T130" t="s">
        <v>52</v>
      </c>
      <c r="V130" s="1"/>
      <c r="AB130" s="1"/>
    </row>
    <row r="131" spans="1:28" x14ac:dyDescent="0.25">
      <c r="A131" t="s">
        <v>47</v>
      </c>
      <c r="B131">
        <v>43193940</v>
      </c>
      <c r="D131" s="1"/>
      <c r="E131" s="1"/>
      <c r="H131">
        <v>3</v>
      </c>
      <c r="I131" t="s">
        <v>22</v>
      </c>
      <c r="J131" t="s">
        <v>35</v>
      </c>
      <c r="K131" t="s">
        <v>54</v>
      </c>
      <c r="L131">
        <v>6184</v>
      </c>
      <c r="M131" s="1">
        <v>43684</v>
      </c>
      <c r="N131" t="s">
        <v>24</v>
      </c>
      <c r="Q131" s="1"/>
      <c r="R131">
        <v>1900004376</v>
      </c>
      <c r="S131" s="1">
        <v>43804</v>
      </c>
      <c r="T131" t="s">
        <v>52</v>
      </c>
      <c r="V131" s="1"/>
      <c r="AB131" s="1"/>
    </row>
    <row r="132" spans="1:28" x14ac:dyDescent="0.25">
      <c r="A132" t="s">
        <v>62</v>
      </c>
      <c r="B132" t="s">
        <v>134</v>
      </c>
      <c r="D132" s="1"/>
      <c r="E132" s="1"/>
      <c r="I132" t="s">
        <v>22</v>
      </c>
      <c r="J132" t="s">
        <v>45</v>
      </c>
      <c r="K132" t="s">
        <v>28</v>
      </c>
      <c r="L132">
        <v>1568</v>
      </c>
      <c r="M132" s="1">
        <v>43504</v>
      </c>
      <c r="N132" t="s">
        <v>24</v>
      </c>
      <c r="Q132" s="1"/>
      <c r="R132">
        <v>1900004378</v>
      </c>
      <c r="S132" s="1">
        <v>43804</v>
      </c>
      <c r="T132" t="s">
        <v>217</v>
      </c>
      <c r="V132" s="1"/>
      <c r="AB132" s="1"/>
    </row>
    <row r="133" spans="1:28" x14ac:dyDescent="0.25">
      <c r="A133" t="s">
        <v>96</v>
      </c>
      <c r="B133" t="s">
        <v>188</v>
      </c>
      <c r="D133" s="1"/>
      <c r="E133" s="1"/>
      <c r="I133" t="s">
        <v>22</v>
      </c>
      <c r="J133" t="s">
        <v>40</v>
      </c>
      <c r="L133">
        <v>18901</v>
      </c>
      <c r="M133" s="1">
        <v>43722</v>
      </c>
      <c r="N133" t="s">
        <v>24</v>
      </c>
      <c r="Q133" s="1"/>
      <c r="R133">
        <v>1900004380</v>
      </c>
      <c r="S133" s="1">
        <v>43804</v>
      </c>
      <c r="T133" t="s">
        <v>218</v>
      </c>
      <c r="V133" s="1"/>
      <c r="AB133" s="1"/>
    </row>
    <row r="134" spans="1:28" x14ac:dyDescent="0.25">
      <c r="A134" t="s">
        <v>96</v>
      </c>
      <c r="B134" t="s">
        <v>188</v>
      </c>
      <c r="D134" s="1"/>
      <c r="E134" s="1"/>
      <c r="I134" t="s">
        <v>22</v>
      </c>
      <c r="J134" t="s">
        <v>40</v>
      </c>
      <c r="L134">
        <v>27682</v>
      </c>
      <c r="M134" s="1">
        <v>43691</v>
      </c>
      <c r="N134" t="s">
        <v>24</v>
      </c>
      <c r="Q134" s="1"/>
      <c r="R134">
        <v>1900004382</v>
      </c>
      <c r="S134" s="1">
        <v>43804</v>
      </c>
      <c r="T134" t="s">
        <v>218</v>
      </c>
      <c r="V134" s="1"/>
      <c r="AB134" s="1"/>
    </row>
    <row r="135" spans="1:28" x14ac:dyDescent="0.25">
      <c r="A135" t="s">
        <v>219</v>
      </c>
      <c r="B135" t="s">
        <v>206</v>
      </c>
      <c r="D135" s="1"/>
      <c r="E135" s="1"/>
      <c r="I135" t="s">
        <v>22</v>
      </c>
      <c r="J135" t="s">
        <v>40</v>
      </c>
      <c r="L135">
        <v>5501</v>
      </c>
      <c r="M135" s="1">
        <v>43759</v>
      </c>
      <c r="N135" t="s">
        <v>24</v>
      </c>
      <c r="Q135" s="1"/>
      <c r="R135">
        <v>1900004383</v>
      </c>
      <c r="S135" s="1">
        <v>43804</v>
      </c>
      <c r="T135" t="s">
        <v>218</v>
      </c>
      <c r="V135" s="1"/>
      <c r="AB135" s="1"/>
    </row>
    <row r="136" spans="1:28" x14ac:dyDescent="0.25">
      <c r="A136" t="s">
        <v>72</v>
      </c>
      <c r="B136" t="s">
        <v>163</v>
      </c>
      <c r="D136" s="1"/>
      <c r="E136" s="1"/>
      <c r="I136" t="s">
        <v>22</v>
      </c>
      <c r="J136" t="s">
        <v>40</v>
      </c>
      <c r="K136" t="s">
        <v>23</v>
      </c>
      <c r="L136">
        <v>123750</v>
      </c>
      <c r="M136" s="1">
        <v>43738</v>
      </c>
      <c r="N136" t="s">
        <v>24</v>
      </c>
      <c r="Q136" s="1"/>
      <c r="R136">
        <v>1900004384</v>
      </c>
      <c r="S136" s="1">
        <v>43804</v>
      </c>
      <c r="T136" t="s">
        <v>218</v>
      </c>
      <c r="V136" s="1"/>
      <c r="AB136" s="1"/>
    </row>
    <row r="137" spans="1:28" x14ac:dyDescent="0.25">
      <c r="A137" t="s">
        <v>46</v>
      </c>
      <c r="B137" t="s">
        <v>105</v>
      </c>
      <c r="D137" s="1"/>
      <c r="E137" s="1"/>
      <c r="I137" t="s">
        <v>22</v>
      </c>
      <c r="J137" t="s">
        <v>53</v>
      </c>
      <c r="K137" t="s">
        <v>23</v>
      </c>
      <c r="L137">
        <v>825</v>
      </c>
      <c r="M137" s="1">
        <v>43647</v>
      </c>
      <c r="N137" t="s">
        <v>24</v>
      </c>
      <c r="Q137" s="1"/>
      <c r="R137">
        <v>1900004404</v>
      </c>
      <c r="S137" s="1">
        <v>43805</v>
      </c>
      <c r="T137" t="s">
        <v>216</v>
      </c>
      <c r="V137" s="1"/>
      <c r="AB137" s="1"/>
    </row>
    <row r="138" spans="1:28" x14ac:dyDescent="0.25">
      <c r="A138" t="s">
        <v>46</v>
      </c>
      <c r="B138" t="s">
        <v>113</v>
      </c>
      <c r="D138" s="1"/>
      <c r="E138" s="1"/>
      <c r="I138" t="s">
        <v>22</v>
      </c>
      <c r="J138" t="s">
        <v>53</v>
      </c>
      <c r="K138" t="s">
        <v>23</v>
      </c>
      <c r="L138">
        <v>1556</v>
      </c>
      <c r="M138" s="1">
        <v>43647</v>
      </c>
      <c r="N138" t="s">
        <v>24</v>
      </c>
      <c r="Q138" s="1"/>
      <c r="R138">
        <v>1900004408</v>
      </c>
      <c r="S138" s="1">
        <v>43805</v>
      </c>
      <c r="T138" t="s">
        <v>216</v>
      </c>
      <c r="V138" s="1"/>
      <c r="AB138" s="1"/>
    </row>
    <row r="139" spans="1:28" x14ac:dyDescent="0.25">
      <c r="A139" t="s">
        <v>46</v>
      </c>
      <c r="B139" t="s">
        <v>111</v>
      </c>
      <c r="D139" s="1"/>
      <c r="E139" s="1"/>
      <c r="I139" t="s">
        <v>22</v>
      </c>
      <c r="J139" t="s">
        <v>53</v>
      </c>
      <c r="K139" t="s">
        <v>23</v>
      </c>
      <c r="L139">
        <v>12350</v>
      </c>
      <c r="M139" s="1">
        <v>43647</v>
      </c>
      <c r="N139" t="s">
        <v>24</v>
      </c>
      <c r="Q139" s="1"/>
      <c r="R139">
        <v>1900004411</v>
      </c>
      <c r="S139" s="1">
        <v>43805</v>
      </c>
      <c r="T139" t="s">
        <v>216</v>
      </c>
      <c r="V139" s="1"/>
      <c r="AB139" s="1"/>
    </row>
    <row r="140" spans="1:28" x14ac:dyDescent="0.25">
      <c r="A140" t="s">
        <v>67</v>
      </c>
      <c r="B140" t="s">
        <v>154</v>
      </c>
      <c r="D140" s="1"/>
      <c r="E140" s="1"/>
      <c r="H140">
        <v>3</v>
      </c>
      <c r="I140" t="s">
        <v>22</v>
      </c>
      <c r="J140" t="s">
        <v>20</v>
      </c>
      <c r="K140" t="s">
        <v>54</v>
      </c>
      <c r="L140">
        <v>15593</v>
      </c>
      <c r="M140" s="1">
        <v>43477</v>
      </c>
      <c r="N140" t="s">
        <v>24</v>
      </c>
      <c r="Q140" s="1"/>
      <c r="R140">
        <v>1900004474</v>
      </c>
      <c r="S140" s="1">
        <v>43808</v>
      </c>
      <c r="T140" t="s">
        <v>52</v>
      </c>
      <c r="V140" s="1"/>
      <c r="AB140" s="1"/>
    </row>
    <row r="141" spans="1:28" x14ac:dyDescent="0.25">
      <c r="A141" t="s">
        <v>96</v>
      </c>
      <c r="B141">
        <v>9.9000044190300006E+17</v>
      </c>
      <c r="D141" s="1"/>
      <c r="E141" s="1"/>
      <c r="H141">
        <v>3</v>
      </c>
      <c r="I141" t="s">
        <v>22</v>
      </c>
      <c r="J141" t="s">
        <v>33</v>
      </c>
      <c r="K141" t="s">
        <v>54</v>
      </c>
      <c r="L141">
        <v>2212</v>
      </c>
      <c r="M141" s="1">
        <v>43565</v>
      </c>
      <c r="N141" t="s">
        <v>24</v>
      </c>
      <c r="Q141" s="1"/>
      <c r="R141">
        <v>1900004500</v>
      </c>
      <c r="S141" s="1">
        <v>43808</v>
      </c>
      <c r="T141" t="s">
        <v>52</v>
      </c>
      <c r="V141" s="1"/>
      <c r="AB141" s="1"/>
    </row>
    <row r="142" spans="1:28" x14ac:dyDescent="0.25">
      <c r="A142" t="s">
        <v>67</v>
      </c>
      <c r="B142">
        <v>54522170</v>
      </c>
      <c r="D142" s="1"/>
      <c r="E142" s="1"/>
      <c r="H142">
        <v>3</v>
      </c>
      <c r="I142" t="s">
        <v>22</v>
      </c>
      <c r="J142" t="s">
        <v>40</v>
      </c>
      <c r="K142" t="s">
        <v>54</v>
      </c>
      <c r="L142">
        <v>9056</v>
      </c>
      <c r="M142" s="1">
        <v>43655</v>
      </c>
      <c r="N142" t="s">
        <v>24</v>
      </c>
      <c r="Q142" s="1"/>
      <c r="R142">
        <v>1900004501</v>
      </c>
      <c r="S142" s="1">
        <v>43808</v>
      </c>
      <c r="T142" t="s">
        <v>52</v>
      </c>
      <c r="V142" s="1"/>
      <c r="AB142" s="1"/>
    </row>
    <row r="143" spans="1:28" x14ac:dyDescent="0.25">
      <c r="A143" t="s">
        <v>46</v>
      </c>
      <c r="B143" t="s">
        <v>106</v>
      </c>
      <c r="D143" s="1"/>
      <c r="E143" s="1"/>
      <c r="I143" t="s">
        <v>22</v>
      </c>
      <c r="J143" t="s">
        <v>53</v>
      </c>
      <c r="K143" t="s">
        <v>23</v>
      </c>
      <c r="L143">
        <v>1897</v>
      </c>
      <c r="M143" s="1">
        <v>43647</v>
      </c>
      <c r="N143" t="s">
        <v>24</v>
      </c>
      <c r="Q143" s="1"/>
      <c r="R143">
        <v>1900004503</v>
      </c>
      <c r="S143" s="1">
        <v>43809</v>
      </c>
      <c r="T143" t="s">
        <v>216</v>
      </c>
      <c r="V143" s="1"/>
      <c r="AB143" s="1"/>
    </row>
    <row r="144" spans="1:28" x14ac:dyDescent="0.25">
      <c r="A144" t="s">
        <v>46</v>
      </c>
      <c r="B144" t="s">
        <v>108</v>
      </c>
      <c r="D144" s="1"/>
      <c r="E144" s="1"/>
      <c r="I144" t="s">
        <v>22</v>
      </c>
      <c r="J144" t="s">
        <v>53</v>
      </c>
      <c r="K144" t="s">
        <v>23</v>
      </c>
      <c r="L144">
        <v>42500</v>
      </c>
      <c r="M144" s="1">
        <v>43647</v>
      </c>
      <c r="N144" t="s">
        <v>24</v>
      </c>
      <c r="Q144" s="1"/>
      <c r="R144">
        <v>1900004505</v>
      </c>
      <c r="S144" s="1">
        <v>43809</v>
      </c>
      <c r="T144" t="s">
        <v>216</v>
      </c>
      <c r="V144" s="1"/>
      <c r="AB144" s="1"/>
    </row>
    <row r="145" spans="1:28" x14ac:dyDescent="0.25">
      <c r="A145" t="s">
        <v>46</v>
      </c>
      <c r="B145" t="s">
        <v>109</v>
      </c>
      <c r="D145" s="1"/>
      <c r="E145" s="1"/>
      <c r="I145" t="s">
        <v>22</v>
      </c>
      <c r="J145" t="s">
        <v>53</v>
      </c>
      <c r="K145" t="s">
        <v>23</v>
      </c>
      <c r="L145">
        <v>10917</v>
      </c>
      <c r="M145" s="1">
        <v>43647</v>
      </c>
      <c r="N145" t="s">
        <v>24</v>
      </c>
      <c r="Q145" s="1"/>
      <c r="R145">
        <v>1900004507</v>
      </c>
      <c r="S145" s="1">
        <v>43809</v>
      </c>
      <c r="T145" t="s">
        <v>216</v>
      </c>
      <c r="V145" s="1"/>
      <c r="AB145" s="1"/>
    </row>
    <row r="146" spans="1:28" x14ac:dyDescent="0.25">
      <c r="A146" t="s">
        <v>46</v>
      </c>
      <c r="B146" t="s">
        <v>112</v>
      </c>
      <c r="D146" s="1"/>
      <c r="E146" s="1"/>
      <c r="I146" t="s">
        <v>22</v>
      </c>
      <c r="J146" t="s">
        <v>53</v>
      </c>
      <c r="K146" t="s">
        <v>23</v>
      </c>
      <c r="L146">
        <v>3375</v>
      </c>
      <c r="M146" s="1">
        <v>43647</v>
      </c>
      <c r="N146" t="s">
        <v>24</v>
      </c>
      <c r="Q146" s="1"/>
      <c r="R146">
        <v>1900004518</v>
      </c>
      <c r="S146" s="1">
        <v>43809</v>
      </c>
      <c r="T146" t="s">
        <v>216</v>
      </c>
      <c r="V146" s="1"/>
      <c r="AB146" s="1"/>
    </row>
    <row r="147" spans="1:28" x14ac:dyDescent="0.25">
      <c r="A147" t="s">
        <v>72</v>
      </c>
      <c r="B147" t="s">
        <v>161</v>
      </c>
      <c r="D147" s="1"/>
      <c r="E147" s="1"/>
      <c r="I147" t="s">
        <v>22</v>
      </c>
      <c r="J147" t="s">
        <v>53</v>
      </c>
      <c r="K147" t="s">
        <v>23</v>
      </c>
      <c r="L147">
        <v>320175</v>
      </c>
      <c r="M147" s="1">
        <v>43805</v>
      </c>
      <c r="N147" t="s">
        <v>208</v>
      </c>
      <c r="Q147" s="1"/>
      <c r="R147">
        <v>1900004535</v>
      </c>
      <c r="S147" s="1">
        <v>43809</v>
      </c>
      <c r="T147" t="s">
        <v>216</v>
      </c>
      <c r="V147" s="1"/>
      <c r="AB147" s="1"/>
    </row>
    <row r="148" spans="1:28" x14ac:dyDescent="0.25">
      <c r="A148" t="s">
        <v>72</v>
      </c>
      <c r="B148">
        <v>3.1242015891005998E+18</v>
      </c>
      <c r="D148" s="1"/>
      <c r="E148" s="1"/>
      <c r="I148" t="s">
        <v>22</v>
      </c>
      <c r="J148" t="s">
        <v>53</v>
      </c>
      <c r="K148" t="s">
        <v>23</v>
      </c>
      <c r="L148">
        <v>320175</v>
      </c>
      <c r="M148" s="1">
        <v>43805</v>
      </c>
      <c r="N148" t="s">
        <v>208</v>
      </c>
      <c r="Q148" s="1"/>
      <c r="R148">
        <v>1900004535</v>
      </c>
      <c r="S148" s="1">
        <v>43809</v>
      </c>
      <c r="T148" t="s">
        <v>216</v>
      </c>
      <c r="V148" s="1"/>
      <c r="AB148" s="1"/>
    </row>
    <row r="149" spans="1:28" x14ac:dyDescent="0.25">
      <c r="A149" t="s">
        <v>72</v>
      </c>
      <c r="B149" t="s">
        <v>166</v>
      </c>
      <c r="D149" s="1"/>
      <c r="E149" s="1"/>
      <c r="I149" t="s">
        <v>22</v>
      </c>
      <c r="J149" t="s">
        <v>53</v>
      </c>
      <c r="K149" t="s">
        <v>23</v>
      </c>
      <c r="L149">
        <v>320175</v>
      </c>
      <c r="M149" s="1">
        <v>43805</v>
      </c>
      <c r="N149" t="s">
        <v>208</v>
      </c>
      <c r="Q149" s="1"/>
      <c r="R149">
        <v>1900004535</v>
      </c>
      <c r="S149" s="1">
        <v>43809</v>
      </c>
      <c r="T149" t="s">
        <v>216</v>
      </c>
      <c r="V149" s="1"/>
      <c r="AB149" s="1"/>
    </row>
    <row r="150" spans="1:28" x14ac:dyDescent="0.25">
      <c r="A150" t="s">
        <v>96</v>
      </c>
      <c r="B150" t="s">
        <v>192</v>
      </c>
      <c r="D150" s="1"/>
      <c r="E150" s="1"/>
      <c r="I150" t="s">
        <v>22</v>
      </c>
      <c r="J150" t="s">
        <v>53</v>
      </c>
      <c r="K150" t="s">
        <v>23</v>
      </c>
      <c r="L150">
        <v>168593</v>
      </c>
      <c r="M150" s="1">
        <v>43613</v>
      </c>
      <c r="N150" t="s">
        <v>208</v>
      </c>
      <c r="Q150" s="1"/>
      <c r="R150">
        <v>1900004538</v>
      </c>
      <c r="S150" s="1">
        <v>43809</v>
      </c>
      <c r="T150" t="s">
        <v>216</v>
      </c>
      <c r="V150" s="1"/>
      <c r="AB150" s="1"/>
    </row>
    <row r="151" spans="1:28" x14ac:dyDescent="0.25">
      <c r="A151" t="s">
        <v>96</v>
      </c>
      <c r="B151" t="s">
        <v>193</v>
      </c>
      <c r="D151" s="1"/>
      <c r="E151" s="1"/>
      <c r="I151" t="s">
        <v>22</v>
      </c>
      <c r="J151" t="s">
        <v>53</v>
      </c>
      <c r="K151" t="s">
        <v>23</v>
      </c>
      <c r="L151">
        <v>168593</v>
      </c>
      <c r="M151" s="1">
        <v>43613</v>
      </c>
      <c r="N151" t="s">
        <v>208</v>
      </c>
      <c r="Q151" s="1"/>
      <c r="R151">
        <v>1900004538</v>
      </c>
      <c r="S151" s="1">
        <v>43809</v>
      </c>
      <c r="T151" t="s">
        <v>216</v>
      </c>
      <c r="V151" s="1"/>
      <c r="AB151" s="1"/>
    </row>
    <row r="152" spans="1:28" x14ac:dyDescent="0.25">
      <c r="A152" t="s">
        <v>84</v>
      </c>
      <c r="B152">
        <v>43196279</v>
      </c>
      <c r="D152" s="1"/>
      <c r="E152" s="1"/>
      <c r="I152" t="s">
        <v>22</v>
      </c>
      <c r="J152" t="s">
        <v>53</v>
      </c>
      <c r="K152" t="s">
        <v>23</v>
      </c>
      <c r="L152">
        <v>2970</v>
      </c>
      <c r="M152" s="1">
        <v>43730</v>
      </c>
      <c r="N152" t="s">
        <v>24</v>
      </c>
      <c r="Q152" s="1"/>
      <c r="R152">
        <v>1900004894</v>
      </c>
      <c r="S152" s="1">
        <v>43818</v>
      </c>
      <c r="T152" t="s">
        <v>216</v>
      </c>
      <c r="V152" s="1"/>
      <c r="AB152" s="1"/>
    </row>
    <row r="153" spans="1:28" x14ac:dyDescent="0.25">
      <c r="A153" t="s">
        <v>36</v>
      </c>
      <c r="B153">
        <v>3.1142029633600998E+18</v>
      </c>
      <c r="D153" s="1"/>
      <c r="E153" s="1"/>
      <c r="H153">
        <v>1</v>
      </c>
      <c r="I153" t="s">
        <v>22</v>
      </c>
      <c r="J153" t="s">
        <v>53</v>
      </c>
      <c r="K153" t="s">
        <v>54</v>
      </c>
      <c r="L153">
        <v>7022</v>
      </c>
      <c r="M153" s="1">
        <v>43703</v>
      </c>
      <c r="N153" t="s">
        <v>24</v>
      </c>
      <c r="Q153" s="1"/>
      <c r="R153">
        <v>1900004898</v>
      </c>
      <c r="S153" s="1">
        <v>43818</v>
      </c>
      <c r="T153" t="s">
        <v>21</v>
      </c>
      <c r="V153" s="1"/>
      <c r="AB153" s="1"/>
    </row>
    <row r="154" spans="1:28" x14ac:dyDescent="0.25">
      <c r="A154" t="s">
        <v>47</v>
      </c>
      <c r="B154" t="s">
        <v>114</v>
      </c>
      <c r="D154" s="1"/>
      <c r="E154" s="1"/>
      <c r="I154" t="s">
        <v>22</v>
      </c>
      <c r="J154" t="s">
        <v>53</v>
      </c>
      <c r="K154" t="s">
        <v>23</v>
      </c>
      <c r="L154">
        <v>202350</v>
      </c>
      <c r="M154" s="1">
        <v>43738</v>
      </c>
      <c r="N154" t="s">
        <v>24</v>
      </c>
      <c r="Q154" s="1"/>
      <c r="R154">
        <v>1900004909</v>
      </c>
      <c r="S154" s="1">
        <v>43818</v>
      </c>
      <c r="T154" t="s">
        <v>216</v>
      </c>
      <c r="V154" s="1"/>
      <c r="AB154" s="1"/>
    </row>
    <row r="155" spans="1:28" x14ac:dyDescent="0.25">
      <c r="A155" t="s">
        <v>47</v>
      </c>
      <c r="B155">
        <v>3.213400201191E+23</v>
      </c>
      <c r="D155" s="1"/>
      <c r="E155" s="1"/>
      <c r="H155">
        <v>1</v>
      </c>
      <c r="I155" t="s">
        <v>22</v>
      </c>
      <c r="J155" t="s">
        <v>53</v>
      </c>
      <c r="K155" t="s">
        <v>54</v>
      </c>
      <c r="L155">
        <v>87500</v>
      </c>
      <c r="M155" s="1">
        <v>43677</v>
      </c>
      <c r="N155" t="s">
        <v>24</v>
      </c>
      <c r="Q155" s="1"/>
      <c r="R155">
        <v>1900004912</v>
      </c>
      <c r="S155" s="1">
        <v>43818</v>
      </c>
      <c r="T155" t="s">
        <v>21</v>
      </c>
      <c r="V155" s="1"/>
      <c r="AB155" s="1"/>
    </row>
    <row r="156" spans="1:28" x14ac:dyDescent="0.25">
      <c r="A156" t="s">
        <v>47</v>
      </c>
      <c r="B156">
        <v>22515779</v>
      </c>
      <c r="D156" s="1"/>
      <c r="E156" s="1"/>
      <c r="H156">
        <v>1</v>
      </c>
      <c r="I156" t="s">
        <v>22</v>
      </c>
      <c r="J156" t="s">
        <v>53</v>
      </c>
      <c r="K156" t="s">
        <v>54</v>
      </c>
      <c r="L156">
        <v>44260</v>
      </c>
      <c r="M156" s="1">
        <v>43738</v>
      </c>
      <c r="N156" t="s">
        <v>24</v>
      </c>
      <c r="Q156" s="1"/>
      <c r="R156">
        <v>1900004917</v>
      </c>
      <c r="S156" s="1">
        <v>43818</v>
      </c>
      <c r="T156" t="s">
        <v>21</v>
      </c>
      <c r="V156" s="1"/>
      <c r="AB156" s="1"/>
    </row>
    <row r="157" spans="1:28" x14ac:dyDescent="0.25">
      <c r="A157" t="s">
        <v>47</v>
      </c>
      <c r="B157">
        <v>9.9000046190100005E+19</v>
      </c>
      <c r="D157" s="1"/>
      <c r="E157" s="1"/>
      <c r="I157" t="s">
        <v>22</v>
      </c>
      <c r="J157" t="s">
        <v>45</v>
      </c>
      <c r="K157" t="s">
        <v>28</v>
      </c>
      <c r="L157">
        <v>11550</v>
      </c>
      <c r="M157" s="1">
        <v>43716</v>
      </c>
      <c r="N157" t="s">
        <v>24</v>
      </c>
      <c r="Q157" s="1"/>
      <c r="R157">
        <v>1900004919</v>
      </c>
      <c r="S157" s="1">
        <v>43818</v>
      </c>
      <c r="T157" t="s">
        <v>221</v>
      </c>
      <c r="V157" s="1"/>
      <c r="AB157" s="1"/>
    </row>
    <row r="158" spans="1:28" x14ac:dyDescent="0.25">
      <c r="A158" t="s">
        <v>47</v>
      </c>
      <c r="B158">
        <v>9.90000111903E+19</v>
      </c>
      <c r="D158" s="1"/>
      <c r="E158" s="1"/>
      <c r="I158" t="s">
        <v>22</v>
      </c>
      <c r="J158" t="s">
        <v>50</v>
      </c>
      <c r="K158" t="s">
        <v>28</v>
      </c>
      <c r="L158">
        <v>43033</v>
      </c>
      <c r="M158" s="1">
        <v>43716</v>
      </c>
      <c r="N158" t="s">
        <v>24</v>
      </c>
      <c r="Q158" s="1"/>
      <c r="R158">
        <v>1900004920</v>
      </c>
      <c r="S158" s="1">
        <v>43818</v>
      </c>
      <c r="T158" t="s">
        <v>221</v>
      </c>
      <c r="V158" s="1"/>
      <c r="AB158" s="1"/>
    </row>
    <row r="159" spans="1:28" x14ac:dyDescent="0.25">
      <c r="A159" t="s">
        <v>47</v>
      </c>
      <c r="B159">
        <v>9.9000046190100005E+19</v>
      </c>
      <c r="D159" s="1"/>
      <c r="E159" s="1"/>
      <c r="I159" t="s">
        <v>22</v>
      </c>
      <c r="J159" t="s">
        <v>45</v>
      </c>
      <c r="K159" t="s">
        <v>28</v>
      </c>
      <c r="L159">
        <v>7700</v>
      </c>
      <c r="M159" s="1">
        <v>43716</v>
      </c>
      <c r="N159" t="s">
        <v>24</v>
      </c>
      <c r="Q159" s="1"/>
      <c r="R159">
        <v>1900004922</v>
      </c>
      <c r="S159" s="1">
        <v>43818</v>
      </c>
      <c r="T159" t="s">
        <v>221</v>
      </c>
      <c r="V159" s="1"/>
      <c r="AB159" s="1"/>
    </row>
    <row r="160" spans="1:28" x14ac:dyDescent="0.25">
      <c r="A160" t="s">
        <v>47</v>
      </c>
      <c r="B160">
        <v>9.90000111903E+19</v>
      </c>
      <c r="D160" s="1"/>
      <c r="E160" s="1"/>
      <c r="I160" t="s">
        <v>22</v>
      </c>
      <c r="J160" t="s">
        <v>50</v>
      </c>
      <c r="K160" t="s">
        <v>28</v>
      </c>
      <c r="L160">
        <v>72139</v>
      </c>
      <c r="M160" s="1">
        <v>43716</v>
      </c>
      <c r="N160" t="s">
        <v>24</v>
      </c>
      <c r="Q160" s="1"/>
      <c r="R160">
        <v>1900004923</v>
      </c>
      <c r="S160" s="1">
        <v>43818</v>
      </c>
      <c r="T160" t="s">
        <v>221</v>
      </c>
      <c r="V160" s="1"/>
      <c r="AB160" s="1"/>
    </row>
    <row r="161" spans="1:28" x14ac:dyDescent="0.25">
      <c r="A161" t="s">
        <v>47</v>
      </c>
      <c r="B161">
        <v>9.9000044190299996E+19</v>
      </c>
      <c r="D161" s="1"/>
      <c r="E161" s="1"/>
      <c r="H161">
        <v>3</v>
      </c>
      <c r="I161" t="s">
        <v>22</v>
      </c>
      <c r="J161" t="s">
        <v>33</v>
      </c>
      <c r="K161" t="s">
        <v>54</v>
      </c>
      <c r="L161">
        <v>32585</v>
      </c>
      <c r="M161" s="1">
        <v>43719</v>
      </c>
      <c r="N161" t="s">
        <v>24</v>
      </c>
      <c r="Q161" s="1"/>
      <c r="R161">
        <v>1900004928</v>
      </c>
      <c r="S161" s="1">
        <v>43818</v>
      </c>
      <c r="T161" t="s">
        <v>52</v>
      </c>
      <c r="V161" s="1"/>
      <c r="AB161" s="1"/>
    </row>
    <row r="162" spans="1:28" x14ac:dyDescent="0.25">
      <c r="A162" t="s">
        <v>47</v>
      </c>
      <c r="B162">
        <v>9.9000044190299996E+19</v>
      </c>
      <c r="D162" s="1"/>
      <c r="E162" s="1"/>
      <c r="H162">
        <v>3</v>
      </c>
      <c r="I162" t="s">
        <v>22</v>
      </c>
      <c r="J162" t="s">
        <v>33</v>
      </c>
      <c r="K162" t="s">
        <v>54</v>
      </c>
      <c r="L162">
        <v>8045</v>
      </c>
      <c r="M162" s="1">
        <v>43730</v>
      </c>
      <c r="N162" t="s">
        <v>24</v>
      </c>
      <c r="Q162" s="1"/>
      <c r="R162">
        <v>1900004933</v>
      </c>
      <c r="S162" s="1">
        <v>43818</v>
      </c>
      <c r="T162" t="s">
        <v>52</v>
      </c>
      <c r="V162" s="1"/>
      <c r="AB162" s="1"/>
    </row>
    <row r="163" spans="1:28" x14ac:dyDescent="0.25">
      <c r="A163" t="s">
        <v>72</v>
      </c>
      <c r="B163" t="s">
        <v>160</v>
      </c>
      <c r="D163" s="1"/>
      <c r="E163" s="1"/>
      <c r="I163" t="s">
        <v>22</v>
      </c>
      <c r="J163" t="s">
        <v>53</v>
      </c>
      <c r="K163" t="s">
        <v>23</v>
      </c>
      <c r="L163">
        <v>26968</v>
      </c>
      <c r="M163" s="1">
        <v>43763</v>
      </c>
      <c r="N163" t="s">
        <v>24</v>
      </c>
      <c r="Q163" s="1"/>
      <c r="R163">
        <v>1900004983</v>
      </c>
      <c r="S163" s="1">
        <v>43818</v>
      </c>
      <c r="T163" t="s">
        <v>216</v>
      </c>
      <c r="V163" s="1"/>
      <c r="AB163" s="1"/>
    </row>
    <row r="164" spans="1:28" x14ac:dyDescent="0.25">
      <c r="A164" t="s">
        <v>72</v>
      </c>
      <c r="B164" t="s">
        <v>159</v>
      </c>
      <c r="D164" s="1"/>
      <c r="E164" s="1"/>
      <c r="I164" t="s">
        <v>22</v>
      </c>
      <c r="J164" t="s">
        <v>53</v>
      </c>
      <c r="K164" t="s">
        <v>23</v>
      </c>
      <c r="L164">
        <v>2437</v>
      </c>
      <c r="M164" s="1">
        <v>43764</v>
      </c>
      <c r="N164" t="s">
        <v>24</v>
      </c>
      <c r="Q164" s="1"/>
      <c r="R164">
        <v>1900004984</v>
      </c>
      <c r="S164" s="1">
        <v>43818</v>
      </c>
      <c r="T164" t="s">
        <v>216</v>
      </c>
      <c r="V164" s="1"/>
      <c r="AB164" s="1"/>
    </row>
    <row r="165" spans="1:28" x14ac:dyDescent="0.25">
      <c r="A165" t="s">
        <v>72</v>
      </c>
      <c r="B165" t="s">
        <v>166</v>
      </c>
      <c r="D165" s="1"/>
      <c r="E165" s="1"/>
      <c r="I165" t="s">
        <v>22</v>
      </c>
      <c r="J165" t="s">
        <v>53</v>
      </c>
      <c r="K165" t="s">
        <v>23</v>
      </c>
      <c r="L165">
        <v>53278</v>
      </c>
      <c r="M165" s="1">
        <v>43466</v>
      </c>
      <c r="N165" t="s">
        <v>24</v>
      </c>
      <c r="Q165" s="1"/>
      <c r="R165">
        <v>1900004985</v>
      </c>
      <c r="S165" s="1">
        <v>43818</v>
      </c>
      <c r="T165" t="s">
        <v>216</v>
      </c>
      <c r="V165" s="1"/>
      <c r="AB165" s="1"/>
    </row>
    <row r="166" spans="1:28" x14ac:dyDescent="0.25">
      <c r="A166" t="s">
        <v>72</v>
      </c>
      <c r="B166" t="s">
        <v>167</v>
      </c>
      <c r="D166" s="1"/>
      <c r="E166" s="1"/>
      <c r="I166" t="s">
        <v>22</v>
      </c>
      <c r="J166" t="s">
        <v>53</v>
      </c>
      <c r="K166" t="s">
        <v>23</v>
      </c>
      <c r="L166">
        <v>30048</v>
      </c>
      <c r="M166" s="1">
        <v>43466</v>
      </c>
      <c r="N166" t="s">
        <v>24</v>
      </c>
      <c r="Q166" s="1"/>
      <c r="R166">
        <v>1900004986</v>
      </c>
      <c r="S166" s="1">
        <v>43818</v>
      </c>
      <c r="T166" t="s">
        <v>216</v>
      </c>
      <c r="V166" s="1"/>
      <c r="AB166" s="1"/>
    </row>
    <row r="167" spans="1:28" x14ac:dyDescent="0.25">
      <c r="A167" t="s">
        <v>72</v>
      </c>
      <c r="B167">
        <v>3.1142029974272998E+18</v>
      </c>
      <c r="D167" s="1"/>
      <c r="E167" s="1"/>
      <c r="I167" t="s">
        <v>22</v>
      </c>
      <c r="J167" t="s">
        <v>53</v>
      </c>
      <c r="K167" t="s">
        <v>23</v>
      </c>
      <c r="L167">
        <v>12500</v>
      </c>
      <c r="M167" s="1">
        <v>43727</v>
      </c>
      <c r="N167" t="s">
        <v>24</v>
      </c>
      <c r="Q167" s="1"/>
      <c r="R167">
        <v>1900004987</v>
      </c>
      <c r="S167" s="1">
        <v>43818</v>
      </c>
      <c r="T167" t="s">
        <v>216</v>
      </c>
      <c r="V167" s="1"/>
      <c r="AB167" s="1"/>
    </row>
    <row r="168" spans="1:28" x14ac:dyDescent="0.25">
      <c r="A168" t="s">
        <v>66</v>
      </c>
      <c r="B168" t="s">
        <v>143</v>
      </c>
      <c r="D168" s="1"/>
      <c r="E168" s="1"/>
      <c r="H168">
        <v>1</v>
      </c>
      <c r="I168" t="s">
        <v>22</v>
      </c>
      <c r="J168" t="s">
        <v>53</v>
      </c>
      <c r="K168" t="s">
        <v>54</v>
      </c>
      <c r="L168">
        <v>3854</v>
      </c>
      <c r="M168" s="1">
        <v>43585</v>
      </c>
      <c r="N168" t="s">
        <v>24</v>
      </c>
      <c r="Q168" s="1"/>
      <c r="R168">
        <v>1900005036</v>
      </c>
      <c r="S168" s="1">
        <v>43819</v>
      </c>
      <c r="T168" t="s">
        <v>21</v>
      </c>
      <c r="V168" s="1"/>
      <c r="AB168" s="1"/>
    </row>
    <row r="169" spans="1:28" x14ac:dyDescent="0.25">
      <c r="A169" t="s">
        <v>66</v>
      </c>
      <c r="B169">
        <v>304003763</v>
      </c>
      <c r="D169" s="1"/>
      <c r="E169" s="1"/>
      <c r="I169" t="s">
        <v>22</v>
      </c>
      <c r="J169" t="s">
        <v>53</v>
      </c>
      <c r="K169" t="s">
        <v>23</v>
      </c>
      <c r="L169">
        <v>132392</v>
      </c>
      <c r="M169" s="1">
        <v>43819</v>
      </c>
      <c r="N169" t="s">
        <v>208</v>
      </c>
      <c r="Q169" s="1"/>
      <c r="R169">
        <v>1900005300</v>
      </c>
      <c r="S169" s="1">
        <v>43823</v>
      </c>
      <c r="T169" t="s">
        <v>216</v>
      </c>
      <c r="V169" s="1"/>
      <c r="AB169" s="1"/>
    </row>
    <row r="170" spans="1:28" x14ac:dyDescent="0.25">
      <c r="A170" t="s">
        <v>66</v>
      </c>
      <c r="B170" t="s">
        <v>138</v>
      </c>
      <c r="D170" s="1"/>
      <c r="E170" s="1"/>
      <c r="I170" t="s">
        <v>22</v>
      </c>
      <c r="J170" t="s">
        <v>53</v>
      </c>
      <c r="K170" t="s">
        <v>23</v>
      </c>
      <c r="L170">
        <v>132392</v>
      </c>
      <c r="M170" s="1">
        <v>43819</v>
      </c>
      <c r="N170" t="s">
        <v>208</v>
      </c>
      <c r="Q170" s="1"/>
      <c r="R170">
        <v>1900005300</v>
      </c>
      <c r="S170" s="1">
        <v>43823</v>
      </c>
      <c r="T170" t="s">
        <v>216</v>
      </c>
      <c r="V170" s="1"/>
      <c r="AB170" s="1"/>
    </row>
    <row r="171" spans="1:28" x14ac:dyDescent="0.25">
      <c r="A171" t="s">
        <v>66</v>
      </c>
      <c r="B171">
        <v>2.4142020928135997E+18</v>
      </c>
      <c r="D171" s="1"/>
      <c r="E171" s="1"/>
      <c r="I171" t="s">
        <v>22</v>
      </c>
      <c r="J171" t="s">
        <v>53</v>
      </c>
      <c r="K171" t="s">
        <v>23</v>
      </c>
      <c r="L171">
        <v>132392</v>
      </c>
      <c r="M171" s="1">
        <v>43819</v>
      </c>
      <c r="N171" t="s">
        <v>208</v>
      </c>
      <c r="Q171" s="1"/>
      <c r="R171">
        <v>1900005300</v>
      </c>
      <c r="S171" s="1">
        <v>43823</v>
      </c>
      <c r="T171" t="s">
        <v>216</v>
      </c>
      <c r="V171" s="1"/>
      <c r="AB171" s="1"/>
    </row>
    <row r="172" spans="1:28" x14ac:dyDescent="0.25">
      <c r="A172" t="s">
        <v>66</v>
      </c>
      <c r="B172" t="s">
        <v>142</v>
      </c>
      <c r="D172" s="1"/>
      <c r="E172" s="1"/>
      <c r="I172" t="s">
        <v>22</v>
      </c>
      <c r="J172" t="s">
        <v>53</v>
      </c>
      <c r="K172" t="s">
        <v>23</v>
      </c>
      <c r="L172">
        <v>132392</v>
      </c>
      <c r="M172" s="1">
        <v>43819</v>
      </c>
      <c r="N172" t="s">
        <v>208</v>
      </c>
      <c r="Q172" s="1"/>
      <c r="R172">
        <v>1900005300</v>
      </c>
      <c r="S172" s="1">
        <v>43823</v>
      </c>
      <c r="T172" t="s">
        <v>216</v>
      </c>
      <c r="V172" s="1"/>
      <c r="AB172" s="1"/>
    </row>
    <row r="173" spans="1:28" x14ac:dyDescent="0.25">
      <c r="A173" t="s">
        <v>96</v>
      </c>
      <c r="B173">
        <v>9.9000044190299996E+19</v>
      </c>
      <c r="D173" s="1"/>
      <c r="E173" s="1"/>
      <c r="H173">
        <v>3</v>
      </c>
      <c r="I173" t="s">
        <v>22</v>
      </c>
      <c r="J173" t="s">
        <v>33</v>
      </c>
      <c r="K173" t="s">
        <v>54</v>
      </c>
      <c r="L173">
        <v>26805</v>
      </c>
      <c r="M173" s="1">
        <v>43788</v>
      </c>
      <c r="N173" t="s">
        <v>24</v>
      </c>
      <c r="Q173" s="1"/>
      <c r="R173">
        <v>1900005324</v>
      </c>
      <c r="S173" s="1">
        <v>43823</v>
      </c>
      <c r="T173" t="s">
        <v>52</v>
      </c>
      <c r="V173" s="1"/>
      <c r="AB173" s="1"/>
    </row>
    <row r="174" spans="1:28" x14ac:dyDescent="0.25">
      <c r="A174" t="s">
        <v>96</v>
      </c>
      <c r="B174">
        <v>43191791</v>
      </c>
      <c r="D174" s="1"/>
      <c r="E174" s="1"/>
      <c r="I174" t="s">
        <v>22</v>
      </c>
      <c r="J174" t="s">
        <v>40</v>
      </c>
      <c r="K174" t="s">
        <v>23</v>
      </c>
      <c r="L174">
        <v>956</v>
      </c>
      <c r="M174" s="1">
        <v>43649</v>
      </c>
      <c r="N174" t="s">
        <v>24</v>
      </c>
      <c r="Q174" s="1"/>
      <c r="R174">
        <v>1900005325</v>
      </c>
      <c r="S174" s="1">
        <v>43823</v>
      </c>
      <c r="T174" t="s">
        <v>217</v>
      </c>
      <c r="V174" s="1"/>
      <c r="AB174" s="1"/>
    </row>
    <row r="175" spans="1:28" x14ac:dyDescent="0.25">
      <c r="A175" t="s">
        <v>17</v>
      </c>
      <c r="B175">
        <v>3.1142029634361999E+18</v>
      </c>
      <c r="D175" s="1"/>
      <c r="E175" s="1"/>
      <c r="H175">
        <v>1</v>
      </c>
      <c r="I175" t="s">
        <v>22</v>
      </c>
      <c r="J175" t="s">
        <v>53</v>
      </c>
      <c r="K175" t="s">
        <v>54</v>
      </c>
      <c r="L175">
        <v>2089</v>
      </c>
      <c r="M175" s="1">
        <v>43703</v>
      </c>
      <c r="N175" t="s">
        <v>24</v>
      </c>
      <c r="Q175" s="1"/>
      <c r="R175">
        <v>1900005329</v>
      </c>
      <c r="S175" s="1">
        <v>43823</v>
      </c>
      <c r="T175" t="s">
        <v>21</v>
      </c>
      <c r="V175" s="1"/>
      <c r="AB175" s="1"/>
    </row>
    <row r="176" spans="1:28" x14ac:dyDescent="0.25">
      <c r="A176" t="s">
        <v>84</v>
      </c>
      <c r="B176" t="s">
        <v>196</v>
      </c>
      <c r="D176" s="1"/>
      <c r="E176" s="1"/>
      <c r="I176" t="s">
        <v>22</v>
      </c>
      <c r="J176" t="s">
        <v>53</v>
      </c>
      <c r="K176" t="s">
        <v>23</v>
      </c>
      <c r="L176">
        <v>8580</v>
      </c>
      <c r="M176" s="1">
        <v>43729</v>
      </c>
      <c r="N176" t="s">
        <v>24</v>
      </c>
      <c r="Q176" s="1"/>
      <c r="R176">
        <v>1900005331</v>
      </c>
      <c r="S176" s="1">
        <v>43823</v>
      </c>
      <c r="T176" t="s">
        <v>216</v>
      </c>
      <c r="V176" s="1"/>
      <c r="AB176" s="1"/>
    </row>
    <row r="177" spans="1:28" x14ac:dyDescent="0.25">
      <c r="A177" t="s">
        <v>46</v>
      </c>
      <c r="B177" t="s">
        <v>110</v>
      </c>
      <c r="D177" s="1"/>
      <c r="E177" s="1"/>
      <c r="I177" t="s">
        <v>22</v>
      </c>
      <c r="J177" t="s">
        <v>53</v>
      </c>
      <c r="K177" t="s">
        <v>23</v>
      </c>
      <c r="L177">
        <v>60713</v>
      </c>
      <c r="M177" s="1">
        <v>43647</v>
      </c>
      <c r="N177" t="s">
        <v>24</v>
      </c>
      <c r="Q177" s="1"/>
      <c r="R177">
        <v>1900005394</v>
      </c>
      <c r="S177" s="1">
        <v>43824</v>
      </c>
      <c r="T177" t="s">
        <v>216</v>
      </c>
      <c r="V177" s="1"/>
      <c r="AB177" s="1"/>
    </row>
    <row r="178" spans="1:28" x14ac:dyDescent="0.25">
      <c r="A178" t="s">
        <v>47</v>
      </c>
      <c r="B178">
        <v>22531899</v>
      </c>
      <c r="D178" s="1"/>
      <c r="E178" s="1"/>
      <c r="I178" t="s">
        <v>22</v>
      </c>
      <c r="J178" t="s">
        <v>20</v>
      </c>
      <c r="K178" t="s">
        <v>23</v>
      </c>
      <c r="L178">
        <v>50160</v>
      </c>
      <c r="M178" s="1">
        <v>43765</v>
      </c>
      <c r="N178" t="s">
        <v>24</v>
      </c>
      <c r="Q178" s="1"/>
      <c r="R178">
        <v>1900005395</v>
      </c>
      <c r="S178" s="1">
        <v>43824</v>
      </c>
      <c r="T178" t="s">
        <v>216</v>
      </c>
      <c r="V178" s="1"/>
      <c r="AB178" s="1"/>
    </row>
    <row r="179" spans="1:28" x14ac:dyDescent="0.25">
      <c r="A179" t="s">
        <v>47</v>
      </c>
      <c r="B179" t="s">
        <v>120</v>
      </c>
      <c r="D179" s="1"/>
      <c r="E179" s="1"/>
      <c r="I179" t="s">
        <v>22</v>
      </c>
      <c r="J179" t="s">
        <v>53</v>
      </c>
      <c r="L179">
        <v>71765</v>
      </c>
      <c r="M179" s="1">
        <v>43764</v>
      </c>
      <c r="N179" t="s">
        <v>24</v>
      </c>
      <c r="Q179" s="1"/>
      <c r="R179">
        <v>1900005396</v>
      </c>
      <c r="S179" s="1">
        <v>43824</v>
      </c>
      <c r="T179" t="s">
        <v>216</v>
      </c>
      <c r="V179" s="1"/>
      <c r="AB179" s="1"/>
    </row>
    <row r="180" spans="1:28" x14ac:dyDescent="0.25">
      <c r="A180" t="s">
        <v>72</v>
      </c>
      <c r="B180" t="s">
        <v>174</v>
      </c>
      <c r="D180" s="1"/>
      <c r="E180" s="1"/>
      <c r="H180">
        <v>13</v>
      </c>
      <c r="I180" t="s">
        <v>22</v>
      </c>
      <c r="J180" t="s">
        <v>33</v>
      </c>
      <c r="K180" t="s">
        <v>54</v>
      </c>
      <c r="L180">
        <v>62399</v>
      </c>
      <c r="M180" s="1">
        <v>43783</v>
      </c>
      <c r="N180" t="s">
        <v>24</v>
      </c>
      <c r="Q180" s="1"/>
      <c r="R180">
        <v>1900005439</v>
      </c>
      <c r="S180" s="1">
        <v>43824</v>
      </c>
      <c r="T180" t="s">
        <v>212</v>
      </c>
      <c r="V180" s="1"/>
      <c r="AB180" s="1"/>
    </row>
    <row r="181" spans="1:28" x14ac:dyDescent="0.25">
      <c r="A181" t="s">
        <v>70</v>
      </c>
      <c r="B181">
        <v>2280014070</v>
      </c>
      <c r="D181" s="1"/>
      <c r="E181" s="1"/>
      <c r="H181">
        <v>10</v>
      </c>
      <c r="I181" t="s">
        <v>22</v>
      </c>
      <c r="J181" t="s">
        <v>35</v>
      </c>
      <c r="K181" t="s">
        <v>54</v>
      </c>
      <c r="L181">
        <v>27530</v>
      </c>
      <c r="M181" s="1">
        <v>43533</v>
      </c>
      <c r="N181" t="s">
        <v>24</v>
      </c>
      <c r="Q181" s="1"/>
      <c r="R181">
        <v>1900005516</v>
      </c>
      <c r="S181" s="1">
        <v>43825</v>
      </c>
      <c r="T181" t="s">
        <v>39</v>
      </c>
      <c r="V181" s="1"/>
      <c r="AB181" s="1"/>
    </row>
    <row r="182" spans="1:28" x14ac:dyDescent="0.25">
      <c r="A182" t="s">
        <v>17</v>
      </c>
      <c r="B182" t="s">
        <v>58</v>
      </c>
      <c r="D182" s="1"/>
      <c r="E182" s="1"/>
      <c r="I182" t="s">
        <v>22</v>
      </c>
      <c r="J182" t="s">
        <v>40</v>
      </c>
      <c r="K182" t="s">
        <v>23</v>
      </c>
      <c r="L182">
        <v>60000</v>
      </c>
      <c r="M182" s="1">
        <v>43556</v>
      </c>
      <c r="N182" t="s">
        <v>24</v>
      </c>
      <c r="Q182" s="1"/>
      <c r="R182">
        <v>1900005526</v>
      </c>
      <c r="S182" s="1">
        <v>43825</v>
      </c>
      <c r="T182" t="s">
        <v>218</v>
      </c>
      <c r="V182" s="1"/>
      <c r="AB182" s="1"/>
    </row>
    <row r="183" spans="1:28" x14ac:dyDescent="0.25">
      <c r="A183" t="s">
        <v>36</v>
      </c>
      <c r="B183">
        <v>1.203004619248E+19</v>
      </c>
      <c r="D183" s="1"/>
      <c r="E183" s="1"/>
      <c r="I183" t="s">
        <v>22</v>
      </c>
      <c r="J183" t="s">
        <v>53</v>
      </c>
      <c r="K183" t="s">
        <v>23</v>
      </c>
      <c r="L183">
        <v>77400</v>
      </c>
      <c r="M183" s="1">
        <v>43687</v>
      </c>
      <c r="N183" t="s">
        <v>24</v>
      </c>
      <c r="Q183" s="1"/>
      <c r="R183">
        <v>1900005527</v>
      </c>
      <c r="S183" s="1">
        <v>43825</v>
      </c>
      <c r="T183" t="s">
        <v>216</v>
      </c>
      <c r="V183" s="1"/>
      <c r="AB183" s="1"/>
    </row>
    <row r="184" spans="1:28" x14ac:dyDescent="0.25">
      <c r="A184" t="s">
        <v>36</v>
      </c>
      <c r="B184">
        <v>1.203004619248E+19</v>
      </c>
      <c r="D184" s="1"/>
      <c r="E184" s="1"/>
      <c r="I184" t="s">
        <v>22</v>
      </c>
      <c r="J184" t="s">
        <v>53</v>
      </c>
      <c r="K184" t="s">
        <v>23</v>
      </c>
      <c r="L184">
        <v>302812</v>
      </c>
      <c r="M184" s="1">
        <v>43687</v>
      </c>
      <c r="N184" t="s">
        <v>24</v>
      </c>
      <c r="Q184" s="1"/>
      <c r="R184">
        <v>1900005528</v>
      </c>
      <c r="S184" s="1">
        <v>43825</v>
      </c>
      <c r="T184" t="s">
        <v>216</v>
      </c>
      <c r="V184" s="1"/>
      <c r="AB184" s="1"/>
    </row>
    <row r="185" spans="1:28" x14ac:dyDescent="0.25">
      <c r="A185" t="s">
        <v>51</v>
      </c>
      <c r="B185" t="s">
        <v>124</v>
      </c>
      <c r="D185" s="1"/>
      <c r="E185" s="1"/>
      <c r="I185" t="s">
        <v>22</v>
      </c>
      <c r="J185" t="s">
        <v>45</v>
      </c>
      <c r="K185" t="s">
        <v>23</v>
      </c>
      <c r="L185">
        <v>275569</v>
      </c>
      <c r="M185" s="1">
        <v>43525</v>
      </c>
      <c r="N185" t="s">
        <v>24</v>
      </c>
      <c r="Q185" s="1"/>
      <c r="R185">
        <v>1900005529</v>
      </c>
      <c r="S185" s="1">
        <v>43825</v>
      </c>
      <c r="T185" t="s">
        <v>212</v>
      </c>
      <c r="V185" s="1"/>
      <c r="AB185" s="1"/>
    </row>
    <row r="186" spans="1:28" x14ac:dyDescent="0.25">
      <c r="A186" t="s">
        <v>51</v>
      </c>
      <c r="B186" t="s">
        <v>123</v>
      </c>
      <c r="D186" s="1"/>
      <c r="E186" s="1"/>
      <c r="I186" t="s">
        <v>22</v>
      </c>
      <c r="J186" t="s">
        <v>35</v>
      </c>
      <c r="K186" t="s">
        <v>23</v>
      </c>
      <c r="L186">
        <v>320000</v>
      </c>
      <c r="M186" s="1">
        <v>43496</v>
      </c>
      <c r="N186" t="s">
        <v>24</v>
      </c>
      <c r="Q186" s="1"/>
      <c r="R186">
        <v>1900005530</v>
      </c>
      <c r="S186" s="1">
        <v>43825</v>
      </c>
      <c r="T186" t="s">
        <v>212</v>
      </c>
      <c r="V186" s="1"/>
      <c r="AB186" s="1"/>
    </row>
    <row r="187" spans="1:28" x14ac:dyDescent="0.25">
      <c r="A187" t="s">
        <v>96</v>
      </c>
      <c r="B187">
        <v>3393</v>
      </c>
      <c r="D187" s="1"/>
      <c r="E187" s="1"/>
      <c r="I187" t="s">
        <v>22</v>
      </c>
      <c r="J187" t="s">
        <v>40</v>
      </c>
      <c r="K187" t="s">
        <v>23</v>
      </c>
      <c r="L187">
        <v>114752</v>
      </c>
      <c r="M187" s="1">
        <v>43770</v>
      </c>
      <c r="N187" t="s">
        <v>24</v>
      </c>
      <c r="Q187" s="1"/>
      <c r="R187">
        <v>1900005531</v>
      </c>
      <c r="S187" s="1">
        <v>43825</v>
      </c>
      <c r="T187" t="s">
        <v>218</v>
      </c>
      <c r="V187" s="1"/>
      <c r="AB187" s="1"/>
    </row>
    <row r="188" spans="1:28" x14ac:dyDescent="0.25">
      <c r="A188" t="s">
        <v>96</v>
      </c>
      <c r="B188" t="s">
        <v>189</v>
      </c>
      <c r="D188" s="1"/>
      <c r="E188" s="1"/>
      <c r="I188" t="s">
        <v>22</v>
      </c>
      <c r="J188" t="s">
        <v>40</v>
      </c>
      <c r="L188">
        <v>49027</v>
      </c>
      <c r="M188" s="1">
        <v>43500</v>
      </c>
      <c r="N188" t="s">
        <v>24</v>
      </c>
      <c r="Q188" s="1"/>
      <c r="R188">
        <v>1900005532</v>
      </c>
      <c r="S188" s="1">
        <v>43825</v>
      </c>
      <c r="T188" t="s">
        <v>218</v>
      </c>
      <c r="V188" s="1"/>
      <c r="AB188" s="1"/>
    </row>
    <row r="189" spans="1:28" x14ac:dyDescent="0.25">
      <c r="A189" t="s">
        <v>72</v>
      </c>
      <c r="B189" t="s">
        <v>176</v>
      </c>
      <c r="D189" s="1"/>
      <c r="E189" s="1"/>
      <c r="H189">
        <v>13</v>
      </c>
      <c r="I189" t="s">
        <v>22</v>
      </c>
      <c r="J189" t="s">
        <v>33</v>
      </c>
      <c r="K189" t="s">
        <v>54</v>
      </c>
      <c r="L189">
        <v>153332</v>
      </c>
      <c r="M189" s="1">
        <v>43757</v>
      </c>
      <c r="N189" t="s">
        <v>24</v>
      </c>
      <c r="Q189" s="1"/>
      <c r="R189">
        <v>1900005555</v>
      </c>
      <c r="S189" s="1">
        <v>43825</v>
      </c>
      <c r="T189" t="s">
        <v>212</v>
      </c>
      <c r="V189" s="1"/>
      <c r="AB189" s="1"/>
    </row>
    <row r="190" spans="1:28" x14ac:dyDescent="0.25">
      <c r="A190" t="s">
        <v>121</v>
      </c>
      <c r="B190">
        <v>2.4142027811737001E+18</v>
      </c>
      <c r="D190" s="1"/>
      <c r="E190" s="1"/>
      <c r="I190" t="s">
        <v>22</v>
      </c>
      <c r="J190" t="s">
        <v>20</v>
      </c>
      <c r="K190" t="s">
        <v>28</v>
      </c>
      <c r="L190">
        <v>23591</v>
      </c>
      <c r="M190" s="1">
        <v>43586</v>
      </c>
      <c r="N190" t="s">
        <v>24</v>
      </c>
      <c r="Q190" s="1"/>
      <c r="R190">
        <v>1900005760</v>
      </c>
      <c r="S190" s="1">
        <v>43827</v>
      </c>
      <c r="T190" t="s">
        <v>221</v>
      </c>
      <c r="V190" s="1"/>
      <c r="AB190" s="1"/>
    </row>
    <row r="191" spans="1:28" x14ac:dyDescent="0.25">
      <c r="A191" t="s">
        <v>46</v>
      </c>
      <c r="B191" t="s">
        <v>107</v>
      </c>
      <c r="D191" s="1"/>
      <c r="E191" s="1"/>
      <c r="I191" t="s">
        <v>22</v>
      </c>
      <c r="J191" t="s">
        <v>53</v>
      </c>
      <c r="K191" t="s">
        <v>23</v>
      </c>
      <c r="L191">
        <v>19181</v>
      </c>
      <c r="M191" s="1">
        <v>43679</v>
      </c>
      <c r="N191" t="s">
        <v>24</v>
      </c>
      <c r="Q191" s="1"/>
      <c r="R191">
        <v>1900005761</v>
      </c>
      <c r="S191" s="1">
        <v>43827</v>
      </c>
      <c r="T191" t="s">
        <v>216</v>
      </c>
      <c r="V191" s="1"/>
      <c r="AB191" s="1"/>
    </row>
    <row r="192" spans="1:28" x14ac:dyDescent="0.25">
      <c r="A192" t="s">
        <v>47</v>
      </c>
      <c r="B192">
        <v>2.3060011180300001E+19</v>
      </c>
      <c r="D192" s="1"/>
      <c r="E192" s="1"/>
      <c r="I192" t="s">
        <v>22</v>
      </c>
      <c r="J192" t="s">
        <v>50</v>
      </c>
      <c r="K192" t="s">
        <v>28</v>
      </c>
      <c r="L192">
        <v>8228</v>
      </c>
      <c r="M192" s="1">
        <v>43524</v>
      </c>
      <c r="N192" t="s">
        <v>24</v>
      </c>
      <c r="Q192" s="1"/>
      <c r="R192">
        <v>1900005767</v>
      </c>
      <c r="S192" s="1">
        <v>43827</v>
      </c>
      <c r="T192" t="s">
        <v>221</v>
      </c>
      <c r="V192" s="1"/>
      <c r="AB192" s="1"/>
    </row>
    <row r="193" spans="1:28" x14ac:dyDescent="0.25">
      <c r="A193" t="s">
        <v>47</v>
      </c>
      <c r="B193">
        <v>2.3060011180300001E+19</v>
      </c>
      <c r="D193" s="1"/>
      <c r="E193" s="1"/>
      <c r="I193" t="s">
        <v>22</v>
      </c>
      <c r="J193" t="s">
        <v>50</v>
      </c>
      <c r="L193">
        <v>5241</v>
      </c>
      <c r="M193" s="1">
        <v>43658</v>
      </c>
      <c r="N193" t="s">
        <v>24</v>
      </c>
      <c r="Q193" s="1"/>
      <c r="R193">
        <v>1900005768</v>
      </c>
      <c r="S193" s="1">
        <v>43827</v>
      </c>
      <c r="T193" t="s">
        <v>221</v>
      </c>
      <c r="V193" s="1"/>
      <c r="AB193" s="1"/>
    </row>
    <row r="194" spans="1:28" x14ac:dyDescent="0.25">
      <c r="A194" t="s">
        <v>47</v>
      </c>
      <c r="B194">
        <v>9.9000046190799995E+19</v>
      </c>
      <c r="D194" s="1"/>
      <c r="E194" s="1"/>
      <c r="I194" t="s">
        <v>22</v>
      </c>
      <c r="J194" t="s">
        <v>50</v>
      </c>
      <c r="L194">
        <v>13154</v>
      </c>
      <c r="M194" s="1">
        <v>43748</v>
      </c>
      <c r="N194" t="s">
        <v>24</v>
      </c>
      <c r="Q194" s="1"/>
      <c r="R194">
        <v>1900005769</v>
      </c>
      <c r="S194" s="1">
        <v>43827</v>
      </c>
      <c r="T194" t="s">
        <v>221</v>
      </c>
      <c r="V194" s="1"/>
      <c r="AB194" s="1"/>
    </row>
    <row r="195" spans="1:28" x14ac:dyDescent="0.25">
      <c r="A195" t="s">
        <v>47</v>
      </c>
      <c r="B195">
        <v>9.9000046190799995E+19</v>
      </c>
      <c r="D195" s="1"/>
      <c r="E195" s="1"/>
      <c r="I195" t="s">
        <v>22</v>
      </c>
      <c r="J195" t="s">
        <v>50</v>
      </c>
      <c r="K195" t="s">
        <v>28</v>
      </c>
      <c r="L195">
        <v>14461</v>
      </c>
      <c r="M195" s="1">
        <v>43716</v>
      </c>
      <c r="N195" t="s">
        <v>24</v>
      </c>
      <c r="Q195" s="1"/>
      <c r="R195">
        <v>1900005770</v>
      </c>
      <c r="S195" s="1">
        <v>43827</v>
      </c>
      <c r="T195" t="s">
        <v>221</v>
      </c>
      <c r="V195" s="1"/>
      <c r="AB195" s="1"/>
    </row>
    <row r="196" spans="1:28" x14ac:dyDescent="0.25">
      <c r="A196" t="s">
        <v>51</v>
      </c>
      <c r="B196" t="s">
        <v>128</v>
      </c>
      <c r="D196" s="1"/>
      <c r="E196" s="1"/>
      <c r="I196" t="s">
        <v>22</v>
      </c>
      <c r="J196" t="s">
        <v>53</v>
      </c>
      <c r="K196" t="s">
        <v>23</v>
      </c>
      <c r="L196">
        <v>2853</v>
      </c>
      <c r="M196" s="1">
        <v>43639</v>
      </c>
      <c r="N196" t="s">
        <v>24</v>
      </c>
      <c r="Q196" s="1"/>
      <c r="R196">
        <v>1900005771</v>
      </c>
      <c r="S196" s="1">
        <v>43827</v>
      </c>
      <c r="T196" t="s">
        <v>216</v>
      </c>
      <c r="V196" s="1"/>
      <c r="AB196" s="1"/>
    </row>
    <row r="197" spans="1:28" x14ac:dyDescent="0.25">
      <c r="A197" t="s">
        <v>51</v>
      </c>
      <c r="B197" t="s">
        <v>129</v>
      </c>
      <c r="D197" s="1"/>
      <c r="E197" s="1"/>
      <c r="I197" t="s">
        <v>22</v>
      </c>
      <c r="J197" t="s">
        <v>53</v>
      </c>
      <c r="K197" t="s">
        <v>23</v>
      </c>
      <c r="L197">
        <v>495</v>
      </c>
      <c r="M197" s="1">
        <v>43639</v>
      </c>
      <c r="N197" t="s">
        <v>24</v>
      </c>
      <c r="Q197" s="1"/>
      <c r="R197">
        <v>1900005772</v>
      </c>
      <c r="S197" s="1">
        <v>43827</v>
      </c>
      <c r="T197" t="s">
        <v>216</v>
      </c>
      <c r="V197" s="1"/>
      <c r="AB197" s="1"/>
    </row>
    <row r="198" spans="1:28" x14ac:dyDescent="0.25">
      <c r="A198" t="s">
        <v>51</v>
      </c>
      <c r="B198" t="s">
        <v>127</v>
      </c>
      <c r="D198" s="1"/>
      <c r="E198" s="1"/>
      <c r="I198" t="s">
        <v>22</v>
      </c>
      <c r="J198" t="s">
        <v>53</v>
      </c>
      <c r="L198">
        <v>5891</v>
      </c>
      <c r="M198" s="1">
        <v>43500</v>
      </c>
      <c r="N198" t="s">
        <v>24</v>
      </c>
      <c r="Q198" s="1"/>
      <c r="R198">
        <v>1900005773</v>
      </c>
      <c r="S198" s="1">
        <v>43827</v>
      </c>
      <c r="T198" t="s">
        <v>216</v>
      </c>
      <c r="V198" s="1"/>
      <c r="AB198" s="1"/>
    </row>
    <row r="199" spans="1:28" x14ac:dyDescent="0.25">
      <c r="A199" t="s">
        <v>67</v>
      </c>
      <c r="B199" t="s">
        <v>156</v>
      </c>
      <c r="D199" s="1"/>
      <c r="E199" s="1"/>
      <c r="H199">
        <v>3</v>
      </c>
      <c r="I199" t="s">
        <v>22</v>
      </c>
      <c r="J199" t="s">
        <v>45</v>
      </c>
      <c r="K199" t="s">
        <v>54</v>
      </c>
      <c r="L199">
        <v>4596</v>
      </c>
      <c r="M199" s="1">
        <v>43601</v>
      </c>
      <c r="N199" t="s">
        <v>24</v>
      </c>
      <c r="Q199" s="1"/>
      <c r="R199">
        <v>1900005774</v>
      </c>
      <c r="S199" s="1">
        <v>43827</v>
      </c>
      <c r="T199" t="s">
        <v>52</v>
      </c>
      <c r="V199" s="1"/>
      <c r="AB199" s="1"/>
    </row>
    <row r="200" spans="1:28" x14ac:dyDescent="0.25">
      <c r="A200" t="s">
        <v>96</v>
      </c>
      <c r="B200">
        <v>9.9000044180300005E+19</v>
      </c>
      <c r="D200" s="1"/>
      <c r="E200" s="1"/>
      <c r="H200">
        <v>3</v>
      </c>
      <c r="I200" t="s">
        <v>22</v>
      </c>
      <c r="J200" t="s">
        <v>33</v>
      </c>
      <c r="K200" t="s">
        <v>54</v>
      </c>
      <c r="L200">
        <v>21443</v>
      </c>
      <c r="M200" s="1">
        <v>43649</v>
      </c>
      <c r="N200" t="s">
        <v>24</v>
      </c>
      <c r="Q200" s="1"/>
      <c r="R200">
        <v>1900005775</v>
      </c>
      <c r="S200" s="1">
        <v>43827</v>
      </c>
      <c r="T200" t="s">
        <v>52</v>
      </c>
      <c r="V200" s="1"/>
      <c r="AB200" s="1"/>
    </row>
    <row r="201" spans="1:28" x14ac:dyDescent="0.25">
      <c r="A201" t="s">
        <v>96</v>
      </c>
      <c r="B201">
        <v>9.9000044180300005E+19</v>
      </c>
      <c r="D201" s="1"/>
      <c r="E201" s="1"/>
      <c r="H201">
        <v>3</v>
      </c>
      <c r="I201" t="s">
        <v>22</v>
      </c>
      <c r="J201" t="s">
        <v>33</v>
      </c>
      <c r="K201" t="s">
        <v>54</v>
      </c>
      <c r="L201">
        <v>21442</v>
      </c>
      <c r="M201" s="1">
        <v>43758</v>
      </c>
      <c r="N201" t="s">
        <v>24</v>
      </c>
      <c r="Q201" s="1"/>
      <c r="R201">
        <v>1900005776</v>
      </c>
      <c r="S201" s="1">
        <v>43827</v>
      </c>
      <c r="T201" t="s">
        <v>52</v>
      </c>
      <c r="V201" s="1"/>
      <c r="AB201" s="1"/>
    </row>
    <row r="202" spans="1:28" x14ac:dyDescent="0.25">
      <c r="A202" t="s">
        <v>96</v>
      </c>
      <c r="B202">
        <v>9.9000044180300005E+19</v>
      </c>
      <c r="D202" s="1"/>
      <c r="E202" s="1"/>
      <c r="H202">
        <v>3</v>
      </c>
      <c r="I202" t="s">
        <v>22</v>
      </c>
      <c r="J202" t="s">
        <v>33</v>
      </c>
      <c r="K202" t="s">
        <v>54</v>
      </c>
      <c r="L202">
        <v>21443</v>
      </c>
      <c r="M202" s="1">
        <v>43540</v>
      </c>
      <c r="N202" t="s">
        <v>24</v>
      </c>
      <c r="Q202" s="1"/>
      <c r="R202">
        <v>1900005777</v>
      </c>
      <c r="S202" s="1">
        <v>43827</v>
      </c>
      <c r="T202" t="s">
        <v>52</v>
      </c>
      <c r="V202" s="1"/>
      <c r="AB202" s="1"/>
    </row>
    <row r="203" spans="1:28" x14ac:dyDescent="0.25">
      <c r="A203" t="s">
        <v>96</v>
      </c>
      <c r="B203">
        <v>9.9000044180300005E+19</v>
      </c>
      <c r="D203" s="1"/>
      <c r="E203" s="1"/>
      <c r="H203">
        <v>3</v>
      </c>
      <c r="I203" t="s">
        <v>22</v>
      </c>
      <c r="J203" t="s">
        <v>33</v>
      </c>
      <c r="K203" t="s">
        <v>54</v>
      </c>
      <c r="L203">
        <v>17949</v>
      </c>
      <c r="M203" s="1">
        <v>43649</v>
      </c>
      <c r="N203" t="s">
        <v>24</v>
      </c>
      <c r="Q203" s="1"/>
      <c r="R203">
        <v>1900005778</v>
      </c>
      <c r="S203" s="1">
        <v>43827</v>
      </c>
      <c r="T203" t="s">
        <v>52</v>
      </c>
      <c r="V203" s="1"/>
      <c r="AB203" s="1"/>
    </row>
    <row r="204" spans="1:28" x14ac:dyDescent="0.25">
      <c r="A204" t="s">
        <v>96</v>
      </c>
      <c r="B204">
        <v>9.9000044180300005E+19</v>
      </c>
      <c r="D204" s="1"/>
      <c r="E204" s="1"/>
      <c r="H204">
        <v>3</v>
      </c>
      <c r="I204" t="s">
        <v>22</v>
      </c>
      <c r="J204" t="s">
        <v>33</v>
      </c>
      <c r="K204" t="s">
        <v>54</v>
      </c>
      <c r="L204">
        <v>17949</v>
      </c>
      <c r="M204" s="1">
        <v>43540</v>
      </c>
      <c r="N204" t="s">
        <v>24</v>
      </c>
      <c r="Q204" s="1"/>
      <c r="R204">
        <v>1900005779</v>
      </c>
      <c r="S204" s="1">
        <v>43827</v>
      </c>
      <c r="T204" t="s">
        <v>52</v>
      </c>
      <c r="V204" s="1"/>
      <c r="AB204" s="1"/>
    </row>
    <row r="205" spans="1:28" x14ac:dyDescent="0.25">
      <c r="A205" t="s">
        <v>96</v>
      </c>
      <c r="B205" t="s">
        <v>187</v>
      </c>
      <c r="D205" s="1"/>
      <c r="E205" s="1"/>
      <c r="I205" t="s">
        <v>22</v>
      </c>
      <c r="J205" t="s">
        <v>45</v>
      </c>
      <c r="K205" t="s">
        <v>28</v>
      </c>
      <c r="L205">
        <v>7889</v>
      </c>
      <c r="M205" s="1">
        <v>43477</v>
      </c>
      <c r="N205" t="s">
        <v>24</v>
      </c>
      <c r="Q205" s="1"/>
      <c r="R205">
        <v>1900005780</v>
      </c>
      <c r="S205" s="1">
        <v>43827</v>
      </c>
      <c r="T205" t="s">
        <v>217</v>
      </c>
      <c r="V205" s="1"/>
      <c r="AB205" s="1"/>
    </row>
    <row r="206" spans="1:28" x14ac:dyDescent="0.25">
      <c r="A206" t="s">
        <v>96</v>
      </c>
      <c r="B206">
        <v>3.1142031258438999E+18</v>
      </c>
      <c r="D206" s="1"/>
      <c r="E206" s="1"/>
      <c r="H206">
        <v>3</v>
      </c>
      <c r="I206" t="s">
        <v>22</v>
      </c>
      <c r="J206" t="s">
        <v>35</v>
      </c>
      <c r="K206" t="s">
        <v>54</v>
      </c>
      <c r="L206">
        <v>8198</v>
      </c>
      <c r="M206" s="1">
        <v>43763</v>
      </c>
      <c r="N206" t="s">
        <v>24</v>
      </c>
      <c r="Q206" s="1"/>
      <c r="R206">
        <v>1900005781</v>
      </c>
      <c r="S206" s="1">
        <v>43827</v>
      </c>
      <c r="T206" t="s">
        <v>52</v>
      </c>
      <c r="V206" s="1"/>
      <c r="AB206" s="1"/>
    </row>
    <row r="207" spans="1:28" x14ac:dyDescent="0.25">
      <c r="A207" t="s">
        <v>96</v>
      </c>
      <c r="B207" t="s">
        <v>188</v>
      </c>
      <c r="D207" s="1"/>
      <c r="E207" s="1"/>
      <c r="I207" t="s">
        <v>22</v>
      </c>
      <c r="J207" t="s">
        <v>40</v>
      </c>
      <c r="L207">
        <v>18697</v>
      </c>
      <c r="M207" s="1">
        <v>43535</v>
      </c>
      <c r="N207" t="s">
        <v>24</v>
      </c>
      <c r="Q207" s="1"/>
      <c r="R207">
        <v>1900005782</v>
      </c>
      <c r="S207" s="1">
        <v>43827</v>
      </c>
      <c r="T207" t="s">
        <v>218</v>
      </c>
      <c r="V207" s="1"/>
      <c r="AB207" s="1"/>
    </row>
    <row r="208" spans="1:28" x14ac:dyDescent="0.25">
      <c r="A208" t="s">
        <v>96</v>
      </c>
      <c r="B208" t="s">
        <v>188</v>
      </c>
      <c r="D208" s="1"/>
      <c r="E208" s="1"/>
      <c r="I208" t="s">
        <v>22</v>
      </c>
      <c r="J208" t="s">
        <v>40</v>
      </c>
      <c r="L208">
        <v>17140</v>
      </c>
      <c r="M208" s="1">
        <v>43749</v>
      </c>
      <c r="N208" t="s">
        <v>24</v>
      </c>
      <c r="Q208" s="1"/>
      <c r="R208">
        <v>1900005783</v>
      </c>
      <c r="S208" s="1">
        <v>43827</v>
      </c>
      <c r="T208" t="s">
        <v>218</v>
      </c>
      <c r="V208" s="1"/>
      <c r="AB208" s="1"/>
    </row>
    <row r="209" spans="1:28" x14ac:dyDescent="0.25">
      <c r="A209" t="s">
        <v>96</v>
      </c>
      <c r="B209" t="s">
        <v>188</v>
      </c>
      <c r="D209" s="1"/>
      <c r="E209" s="1"/>
      <c r="I209" t="s">
        <v>22</v>
      </c>
      <c r="J209" t="s">
        <v>40</v>
      </c>
      <c r="L209">
        <v>8561</v>
      </c>
      <c r="M209" s="1">
        <v>43783</v>
      </c>
      <c r="N209" t="s">
        <v>24</v>
      </c>
      <c r="Q209" s="1"/>
      <c r="R209">
        <v>1900005784</v>
      </c>
      <c r="S209" s="1">
        <v>43827</v>
      </c>
      <c r="T209" t="s">
        <v>218</v>
      </c>
      <c r="V209" s="1"/>
      <c r="AB209" s="1"/>
    </row>
    <row r="210" spans="1:28" x14ac:dyDescent="0.25">
      <c r="A210" t="s">
        <v>84</v>
      </c>
      <c r="B210">
        <v>43191787</v>
      </c>
      <c r="D210" s="1"/>
      <c r="E210" s="1"/>
      <c r="I210" t="s">
        <v>22</v>
      </c>
      <c r="J210" t="s">
        <v>35</v>
      </c>
      <c r="K210" t="s">
        <v>23</v>
      </c>
      <c r="L210">
        <v>6213</v>
      </c>
      <c r="M210" s="1">
        <v>43649</v>
      </c>
      <c r="N210" t="s">
        <v>24</v>
      </c>
      <c r="Q210" s="1"/>
      <c r="R210">
        <v>1900005785</v>
      </c>
      <c r="S210" s="1">
        <v>43827</v>
      </c>
      <c r="T210" t="s">
        <v>217</v>
      </c>
      <c r="V210" s="1"/>
      <c r="AB210" s="1"/>
    </row>
    <row r="211" spans="1:28" x14ac:dyDescent="0.25">
      <c r="A211" t="s">
        <v>84</v>
      </c>
      <c r="B211" t="s">
        <v>199</v>
      </c>
      <c r="D211" s="1"/>
      <c r="E211" s="1"/>
      <c r="I211" t="s">
        <v>22</v>
      </c>
      <c r="J211" t="s">
        <v>53</v>
      </c>
      <c r="K211" t="s">
        <v>23</v>
      </c>
      <c r="L211">
        <v>8625</v>
      </c>
      <c r="M211" s="1">
        <v>43729</v>
      </c>
      <c r="N211" t="s">
        <v>24</v>
      </c>
      <c r="Q211" s="1"/>
      <c r="R211">
        <v>1900005786</v>
      </c>
      <c r="S211" s="1">
        <v>43827</v>
      </c>
      <c r="T211" t="s">
        <v>216</v>
      </c>
      <c r="V211" s="1"/>
      <c r="AB211" s="1"/>
    </row>
    <row r="212" spans="1:28" x14ac:dyDescent="0.25">
      <c r="A212" t="s">
        <v>84</v>
      </c>
      <c r="B212" t="s">
        <v>197</v>
      </c>
      <c r="D212" s="1"/>
      <c r="E212" s="1"/>
      <c r="I212" t="s">
        <v>22</v>
      </c>
      <c r="J212" t="s">
        <v>53</v>
      </c>
      <c r="K212" t="s">
        <v>23</v>
      </c>
      <c r="L212">
        <v>4579</v>
      </c>
      <c r="M212" s="1">
        <v>43729</v>
      </c>
      <c r="N212" t="s">
        <v>24</v>
      </c>
      <c r="Q212" s="1"/>
      <c r="R212">
        <v>1900005787</v>
      </c>
      <c r="S212" s="1">
        <v>43827</v>
      </c>
      <c r="T212" t="s">
        <v>216</v>
      </c>
      <c r="V212" s="1"/>
      <c r="AB212" s="1"/>
    </row>
    <row r="213" spans="1:28" x14ac:dyDescent="0.25">
      <c r="A213" t="s">
        <v>84</v>
      </c>
      <c r="B213" t="s">
        <v>195</v>
      </c>
      <c r="D213" s="1"/>
      <c r="E213" s="1"/>
      <c r="I213" t="s">
        <v>22</v>
      </c>
      <c r="J213" t="s">
        <v>53</v>
      </c>
      <c r="L213">
        <v>1980</v>
      </c>
      <c r="M213" s="1">
        <v>43630</v>
      </c>
      <c r="N213" t="s">
        <v>24</v>
      </c>
      <c r="Q213" s="1"/>
      <c r="R213">
        <v>1900005788</v>
      </c>
      <c r="S213" s="1">
        <v>43827</v>
      </c>
      <c r="T213" t="s">
        <v>216</v>
      </c>
      <c r="V213" s="1"/>
      <c r="AB213" s="1"/>
    </row>
    <row r="214" spans="1:28" x14ac:dyDescent="0.25">
      <c r="A214" t="s">
        <v>84</v>
      </c>
      <c r="B214" t="s">
        <v>198</v>
      </c>
      <c r="D214" s="1"/>
      <c r="E214" s="1"/>
      <c r="I214" t="s">
        <v>22</v>
      </c>
      <c r="J214" t="s">
        <v>53</v>
      </c>
      <c r="K214" t="s">
        <v>23</v>
      </c>
      <c r="L214">
        <v>3330</v>
      </c>
      <c r="M214" s="1">
        <v>43729</v>
      </c>
      <c r="N214" t="s">
        <v>24</v>
      </c>
      <c r="Q214" s="1"/>
      <c r="R214">
        <v>1900005789</v>
      </c>
      <c r="S214" s="1">
        <v>43827</v>
      </c>
      <c r="T214" t="s">
        <v>216</v>
      </c>
      <c r="V214" s="1"/>
      <c r="AB214" s="1"/>
    </row>
    <row r="215" spans="1:28" x14ac:dyDescent="0.25">
      <c r="A215" t="s">
        <v>72</v>
      </c>
      <c r="B215" t="s">
        <v>173</v>
      </c>
      <c r="D215" s="1"/>
      <c r="E215" s="1"/>
      <c r="H215">
        <v>2</v>
      </c>
      <c r="I215" t="s">
        <v>22</v>
      </c>
      <c r="J215" t="s">
        <v>33</v>
      </c>
      <c r="K215" t="s">
        <v>54</v>
      </c>
      <c r="L215">
        <v>90282</v>
      </c>
      <c r="M215" s="1">
        <v>43523</v>
      </c>
      <c r="N215" t="s">
        <v>24</v>
      </c>
      <c r="Q215" s="1"/>
      <c r="R215">
        <v>1900005910</v>
      </c>
      <c r="S215" s="1">
        <v>43830</v>
      </c>
      <c r="T215" t="s">
        <v>27</v>
      </c>
      <c r="V215" s="1"/>
      <c r="AB215" s="1"/>
    </row>
    <row r="216" spans="1:28" x14ac:dyDescent="0.25">
      <c r="A216" t="s">
        <v>72</v>
      </c>
      <c r="B216" t="s">
        <v>174</v>
      </c>
      <c r="D216" s="1"/>
      <c r="E216" s="1"/>
      <c r="H216">
        <v>13</v>
      </c>
      <c r="I216" t="s">
        <v>22</v>
      </c>
      <c r="J216" t="s">
        <v>33</v>
      </c>
      <c r="K216" t="s">
        <v>54</v>
      </c>
      <c r="L216">
        <v>68639</v>
      </c>
      <c r="M216" s="1">
        <v>43599</v>
      </c>
      <c r="N216" t="s">
        <v>24</v>
      </c>
      <c r="Q216" s="1"/>
      <c r="R216">
        <v>1900005911</v>
      </c>
      <c r="S216" s="1">
        <v>43830</v>
      </c>
      <c r="T216" t="s">
        <v>212</v>
      </c>
      <c r="V216" s="1"/>
      <c r="AB216" s="1"/>
    </row>
    <row r="217" spans="1:28" x14ac:dyDescent="0.25">
      <c r="A217" t="s">
        <v>72</v>
      </c>
      <c r="B217" t="s">
        <v>173</v>
      </c>
      <c r="D217" s="1"/>
      <c r="E217" s="1"/>
      <c r="H217">
        <v>2</v>
      </c>
      <c r="I217" t="s">
        <v>22</v>
      </c>
      <c r="J217" t="s">
        <v>33</v>
      </c>
      <c r="K217" t="s">
        <v>54</v>
      </c>
      <c r="L217">
        <v>90282</v>
      </c>
      <c r="M217" s="1">
        <v>43704</v>
      </c>
      <c r="N217" t="s">
        <v>24</v>
      </c>
      <c r="Q217" s="1"/>
      <c r="R217">
        <v>1900005912</v>
      </c>
      <c r="S217" s="1">
        <v>43830</v>
      </c>
      <c r="T217" t="s">
        <v>27</v>
      </c>
      <c r="V217" s="1"/>
      <c r="AB217" s="1"/>
    </row>
    <row r="218" spans="1:28" x14ac:dyDescent="0.25">
      <c r="A218" t="s">
        <v>72</v>
      </c>
      <c r="B218" t="s">
        <v>173</v>
      </c>
      <c r="D218" s="1"/>
      <c r="E218" s="1"/>
      <c r="H218">
        <v>2</v>
      </c>
      <c r="I218" t="s">
        <v>22</v>
      </c>
      <c r="J218" t="s">
        <v>33</v>
      </c>
      <c r="K218" t="s">
        <v>54</v>
      </c>
      <c r="L218">
        <v>90282</v>
      </c>
      <c r="M218" s="1">
        <v>43612</v>
      </c>
      <c r="N218" t="s">
        <v>24</v>
      </c>
      <c r="Q218" s="1"/>
      <c r="R218">
        <v>1900005913</v>
      </c>
      <c r="S218" s="1">
        <v>43830</v>
      </c>
      <c r="T218" t="s">
        <v>27</v>
      </c>
      <c r="V218" s="1"/>
      <c r="AB218" s="1"/>
    </row>
    <row r="219" spans="1:28" x14ac:dyDescent="0.25">
      <c r="A219" t="s">
        <v>72</v>
      </c>
      <c r="B219" t="s">
        <v>175</v>
      </c>
      <c r="D219" s="1"/>
      <c r="E219" s="1"/>
      <c r="H219">
        <v>13</v>
      </c>
      <c r="I219" t="s">
        <v>22</v>
      </c>
      <c r="J219" t="s">
        <v>33</v>
      </c>
      <c r="K219" t="s">
        <v>54</v>
      </c>
      <c r="L219">
        <v>67102</v>
      </c>
      <c r="M219" s="1">
        <v>43551</v>
      </c>
      <c r="N219" t="s">
        <v>24</v>
      </c>
      <c r="Q219" s="1"/>
      <c r="R219">
        <v>1900005915</v>
      </c>
      <c r="S219" s="1">
        <v>43830</v>
      </c>
      <c r="T219" t="s">
        <v>212</v>
      </c>
      <c r="V219" s="1"/>
      <c r="AB219" s="1"/>
    </row>
    <row r="220" spans="1:28" x14ac:dyDescent="0.25">
      <c r="A220" t="s">
        <v>51</v>
      </c>
      <c r="B220" t="s">
        <v>122</v>
      </c>
      <c r="D220" s="1"/>
      <c r="E220" s="1"/>
      <c r="I220" t="s">
        <v>22</v>
      </c>
      <c r="J220" t="s">
        <v>35</v>
      </c>
      <c r="K220" t="s">
        <v>23</v>
      </c>
      <c r="L220">
        <v>125000</v>
      </c>
      <c r="M220" s="1">
        <v>43496</v>
      </c>
      <c r="N220" t="s">
        <v>24</v>
      </c>
      <c r="Q220" s="1"/>
      <c r="R220">
        <v>1900005959</v>
      </c>
      <c r="S220" s="1">
        <v>43830</v>
      </c>
      <c r="T220" t="s">
        <v>212</v>
      </c>
      <c r="V220" s="1"/>
      <c r="AB220" s="1"/>
    </row>
    <row r="221" spans="1:28" x14ac:dyDescent="0.25">
      <c r="A221" t="s">
        <v>66</v>
      </c>
      <c r="B221" t="s">
        <v>222</v>
      </c>
      <c r="D221" s="1"/>
      <c r="E221" s="1"/>
      <c r="I221" t="s">
        <v>22</v>
      </c>
      <c r="J221" t="s">
        <v>85</v>
      </c>
      <c r="K221" t="s">
        <v>23</v>
      </c>
      <c r="L221">
        <v>115781</v>
      </c>
      <c r="M221" s="1">
        <v>43674</v>
      </c>
      <c r="N221" t="s">
        <v>24</v>
      </c>
      <c r="Q221" s="1"/>
      <c r="R221">
        <v>1900005960</v>
      </c>
      <c r="S221" s="1">
        <v>43830</v>
      </c>
      <c r="T221" t="s">
        <v>220</v>
      </c>
      <c r="V221" s="1"/>
      <c r="AB221" s="1"/>
    </row>
    <row r="222" spans="1:28" x14ac:dyDescent="0.25">
      <c r="A222" t="s">
        <v>36</v>
      </c>
      <c r="B222" t="s">
        <v>87</v>
      </c>
      <c r="D222" s="1"/>
      <c r="E222" s="1"/>
      <c r="I222" t="s">
        <v>22</v>
      </c>
      <c r="J222" t="s">
        <v>35</v>
      </c>
      <c r="K222" t="s">
        <v>23</v>
      </c>
      <c r="L222">
        <v>137500</v>
      </c>
      <c r="M222" s="1">
        <v>43466</v>
      </c>
      <c r="N222" t="s">
        <v>24</v>
      </c>
      <c r="Q222" s="1"/>
      <c r="R222">
        <v>1900005961</v>
      </c>
      <c r="S222" s="1">
        <v>43830</v>
      </c>
      <c r="T222" t="s">
        <v>212</v>
      </c>
      <c r="V222" s="1"/>
      <c r="AB222" s="1"/>
    </row>
    <row r="223" spans="1:28" x14ac:dyDescent="0.25">
      <c r="A223" t="s">
        <v>72</v>
      </c>
      <c r="B223" t="s">
        <v>176</v>
      </c>
      <c r="D223" s="1"/>
      <c r="E223" s="1"/>
      <c r="H223">
        <v>2</v>
      </c>
      <c r="I223" t="s">
        <v>22</v>
      </c>
      <c r="J223" t="s">
        <v>33</v>
      </c>
      <c r="K223" t="s">
        <v>54</v>
      </c>
      <c r="L223">
        <v>208093</v>
      </c>
      <c r="M223" s="1">
        <v>43549</v>
      </c>
      <c r="N223" t="s">
        <v>24</v>
      </c>
      <c r="Q223" s="1"/>
      <c r="R223">
        <v>1900005962</v>
      </c>
      <c r="S223" s="1">
        <v>43830</v>
      </c>
      <c r="T223" t="s">
        <v>27</v>
      </c>
      <c r="V223" s="1"/>
      <c r="AB223" s="1"/>
    </row>
    <row r="224" spans="1:28" x14ac:dyDescent="0.25">
      <c r="A224" t="s">
        <v>72</v>
      </c>
      <c r="B224" t="s">
        <v>176</v>
      </c>
      <c r="D224" s="1"/>
      <c r="E224" s="1"/>
      <c r="H224">
        <v>2</v>
      </c>
      <c r="I224" t="s">
        <v>22</v>
      </c>
      <c r="J224" t="s">
        <v>33</v>
      </c>
      <c r="K224" t="s">
        <v>54</v>
      </c>
      <c r="L224">
        <v>153332</v>
      </c>
      <c r="M224" s="1">
        <v>43653</v>
      </c>
      <c r="N224" t="s">
        <v>24</v>
      </c>
      <c r="Q224" s="1"/>
      <c r="R224">
        <v>1900005964</v>
      </c>
      <c r="S224" s="1">
        <v>43830</v>
      </c>
      <c r="T224" t="s">
        <v>27</v>
      </c>
      <c r="V224" s="1"/>
      <c r="AB224" s="1"/>
    </row>
    <row r="225" spans="1:28" x14ac:dyDescent="0.25">
      <c r="A225" t="s">
        <v>36</v>
      </c>
      <c r="B225" t="s">
        <v>92</v>
      </c>
      <c r="D225" s="1"/>
      <c r="E225" s="1"/>
      <c r="I225" t="s">
        <v>22</v>
      </c>
      <c r="J225" t="s">
        <v>35</v>
      </c>
      <c r="K225" t="s">
        <v>23</v>
      </c>
      <c r="L225">
        <v>131250</v>
      </c>
      <c r="M225" s="1">
        <v>43608</v>
      </c>
      <c r="N225" t="s">
        <v>24</v>
      </c>
      <c r="Q225" s="1"/>
      <c r="R225">
        <v>1900005965</v>
      </c>
      <c r="S225" s="1">
        <v>43830</v>
      </c>
      <c r="T225" t="s">
        <v>212</v>
      </c>
      <c r="V225" s="1"/>
      <c r="AB225" s="1"/>
    </row>
    <row r="226" spans="1:28" x14ac:dyDescent="0.25">
      <c r="A226" t="s">
        <v>96</v>
      </c>
      <c r="B226">
        <v>2.4142025629033999E+18</v>
      </c>
      <c r="D226" s="1"/>
      <c r="E226" s="1"/>
      <c r="I226" t="s">
        <v>22</v>
      </c>
      <c r="J226" t="s">
        <v>20</v>
      </c>
      <c r="L226">
        <v>56100</v>
      </c>
      <c r="M226" s="1">
        <v>43532</v>
      </c>
      <c r="N226" t="s">
        <v>24</v>
      </c>
      <c r="Q226" s="1"/>
      <c r="R226">
        <v>2000001072</v>
      </c>
      <c r="S226" s="1">
        <v>43833</v>
      </c>
      <c r="T226" t="s">
        <v>221</v>
      </c>
      <c r="V226" s="1"/>
      <c r="AB226" s="1"/>
    </row>
    <row r="227" spans="1:28" x14ac:dyDescent="0.25">
      <c r="A227" t="s">
        <v>51</v>
      </c>
      <c r="B227" t="s">
        <v>125</v>
      </c>
      <c r="D227" s="1"/>
      <c r="E227" s="1"/>
      <c r="I227" t="s">
        <v>22</v>
      </c>
      <c r="J227" t="s">
        <v>20</v>
      </c>
      <c r="K227" t="s">
        <v>23</v>
      </c>
      <c r="L227">
        <v>50333</v>
      </c>
      <c r="M227" s="1">
        <v>43525</v>
      </c>
      <c r="N227" t="s">
        <v>24</v>
      </c>
      <c r="Q227" s="1"/>
      <c r="R227">
        <v>2000001076</v>
      </c>
      <c r="S227" s="1">
        <v>43833</v>
      </c>
      <c r="T227" t="s">
        <v>212</v>
      </c>
      <c r="V227" s="1"/>
      <c r="AB227" s="1"/>
    </row>
    <row r="228" spans="1:28" x14ac:dyDescent="0.25">
      <c r="A228" t="s">
        <v>84</v>
      </c>
      <c r="B228">
        <v>41046110</v>
      </c>
      <c r="D228" s="1"/>
      <c r="E228" s="1"/>
      <c r="I228" t="s">
        <v>22</v>
      </c>
      <c r="J228" t="s">
        <v>35</v>
      </c>
      <c r="K228" t="s">
        <v>23</v>
      </c>
      <c r="L228">
        <v>74250</v>
      </c>
      <c r="M228" s="1">
        <v>43564</v>
      </c>
      <c r="N228" t="s">
        <v>24</v>
      </c>
      <c r="Q228" s="1"/>
      <c r="R228">
        <v>2000001082</v>
      </c>
      <c r="S228" s="1">
        <v>43833</v>
      </c>
      <c r="T228" t="s">
        <v>212</v>
      </c>
      <c r="V228" s="1"/>
      <c r="AB228" s="1"/>
    </row>
    <row r="229" spans="1:28" x14ac:dyDescent="0.25">
      <c r="A229" t="s">
        <v>67</v>
      </c>
      <c r="B229" t="s">
        <v>155</v>
      </c>
      <c r="D229" s="1"/>
      <c r="E229" s="1"/>
      <c r="I229" t="s">
        <v>22</v>
      </c>
      <c r="J229" t="s">
        <v>40</v>
      </c>
      <c r="K229" t="s">
        <v>23</v>
      </c>
      <c r="L229">
        <v>48929</v>
      </c>
      <c r="M229" s="1">
        <v>43779</v>
      </c>
      <c r="N229" t="s">
        <v>24</v>
      </c>
      <c r="Q229" s="1"/>
      <c r="R229">
        <v>2000001083</v>
      </c>
      <c r="S229" s="1">
        <v>43833</v>
      </c>
      <c r="T229" t="s">
        <v>217</v>
      </c>
      <c r="V229" s="1"/>
      <c r="AB229" s="1"/>
    </row>
    <row r="230" spans="1:28" x14ac:dyDescent="0.25">
      <c r="A230" t="s">
        <v>72</v>
      </c>
      <c r="B230">
        <v>1.11200441808E+19</v>
      </c>
      <c r="D230" s="1"/>
      <c r="E230" s="1"/>
      <c r="H230">
        <v>1</v>
      </c>
      <c r="I230" t="s">
        <v>22</v>
      </c>
      <c r="J230" t="s">
        <v>53</v>
      </c>
      <c r="K230" t="s">
        <v>54</v>
      </c>
      <c r="L230">
        <v>49401</v>
      </c>
      <c r="M230" s="1">
        <v>43468</v>
      </c>
      <c r="N230" t="s">
        <v>24</v>
      </c>
      <c r="Q230" s="1"/>
      <c r="R230">
        <v>2000001086</v>
      </c>
      <c r="S230" s="1">
        <v>43833</v>
      </c>
      <c r="T230" t="s">
        <v>21</v>
      </c>
      <c r="V230" s="1"/>
      <c r="AB230" s="1"/>
    </row>
    <row r="231" spans="1:28" x14ac:dyDescent="0.25">
      <c r="A231" t="s">
        <v>96</v>
      </c>
      <c r="B231" t="s">
        <v>186</v>
      </c>
      <c r="D231" s="1"/>
      <c r="E231" s="1"/>
      <c r="I231" t="s">
        <v>22</v>
      </c>
      <c r="J231" t="s">
        <v>20</v>
      </c>
      <c r="K231" t="s">
        <v>28</v>
      </c>
      <c r="L231">
        <v>9075</v>
      </c>
      <c r="M231" s="1">
        <v>43477</v>
      </c>
      <c r="N231" t="s">
        <v>24</v>
      </c>
      <c r="Q231" s="1"/>
      <c r="R231">
        <v>2000001563</v>
      </c>
      <c r="S231" s="1">
        <v>43846</v>
      </c>
      <c r="T231" t="s">
        <v>217</v>
      </c>
      <c r="V231" s="1"/>
      <c r="AB231" s="1"/>
    </row>
    <row r="232" spans="1:28" x14ac:dyDescent="0.25">
      <c r="A232" t="s">
        <v>66</v>
      </c>
      <c r="B232" t="s">
        <v>150</v>
      </c>
      <c r="D232" s="1"/>
      <c r="E232" s="1"/>
      <c r="H232">
        <v>13</v>
      </c>
      <c r="I232" t="s">
        <v>22</v>
      </c>
      <c r="J232" t="s">
        <v>33</v>
      </c>
      <c r="K232" t="s">
        <v>54</v>
      </c>
      <c r="L232">
        <v>24072</v>
      </c>
      <c r="M232" s="1">
        <v>43537</v>
      </c>
      <c r="N232" t="s">
        <v>24</v>
      </c>
      <c r="Q232" s="1"/>
      <c r="R232">
        <v>2000001567</v>
      </c>
      <c r="S232" s="1">
        <v>43846</v>
      </c>
      <c r="T232" t="s">
        <v>212</v>
      </c>
      <c r="V232" s="1"/>
      <c r="AB232" s="1"/>
    </row>
    <row r="233" spans="1:28" x14ac:dyDescent="0.25">
      <c r="A233" t="s">
        <v>84</v>
      </c>
      <c r="B233" t="s">
        <v>202</v>
      </c>
      <c r="D233" s="1"/>
      <c r="E233" s="1"/>
      <c r="I233" t="s">
        <v>22</v>
      </c>
      <c r="J233" t="s">
        <v>40</v>
      </c>
      <c r="K233" t="s">
        <v>23</v>
      </c>
      <c r="L233">
        <v>5550</v>
      </c>
      <c r="M233" s="1">
        <v>43469</v>
      </c>
      <c r="N233" t="s">
        <v>24</v>
      </c>
      <c r="Q233" s="1"/>
      <c r="R233">
        <v>2000001570</v>
      </c>
      <c r="S233" s="1">
        <v>43846</v>
      </c>
      <c r="T233" t="s">
        <v>218</v>
      </c>
      <c r="V233" s="1"/>
      <c r="AB233" s="1"/>
    </row>
    <row r="234" spans="1:28" x14ac:dyDescent="0.25">
      <c r="A234" t="s">
        <v>72</v>
      </c>
      <c r="B234" t="s">
        <v>182</v>
      </c>
      <c r="D234" s="1"/>
      <c r="E234" s="1"/>
      <c r="H234">
        <v>13</v>
      </c>
      <c r="I234" t="s">
        <v>22</v>
      </c>
      <c r="J234" t="s">
        <v>45</v>
      </c>
      <c r="K234" t="s">
        <v>54</v>
      </c>
      <c r="L234">
        <v>10938</v>
      </c>
      <c r="M234" s="1">
        <v>43628</v>
      </c>
      <c r="N234" t="s">
        <v>24</v>
      </c>
      <c r="Q234" s="1"/>
      <c r="R234">
        <v>2000001575</v>
      </c>
      <c r="S234" s="1">
        <v>43846</v>
      </c>
      <c r="T234" t="s">
        <v>212</v>
      </c>
      <c r="V234" s="1"/>
      <c r="AB234" s="1"/>
    </row>
    <row r="235" spans="1:28" x14ac:dyDescent="0.25">
      <c r="A235" t="s">
        <v>96</v>
      </c>
      <c r="B235">
        <v>2280038722</v>
      </c>
      <c r="D235" s="1"/>
      <c r="E235" s="1"/>
      <c r="H235">
        <v>3</v>
      </c>
      <c r="I235" t="s">
        <v>22</v>
      </c>
      <c r="J235" t="s">
        <v>185</v>
      </c>
      <c r="K235" t="s">
        <v>54</v>
      </c>
      <c r="L235">
        <v>2789</v>
      </c>
      <c r="M235" s="1">
        <v>43661</v>
      </c>
      <c r="N235" t="s">
        <v>24</v>
      </c>
      <c r="Q235" s="1"/>
      <c r="R235">
        <v>2000001579</v>
      </c>
      <c r="S235" s="1">
        <v>43846</v>
      </c>
      <c r="T235" t="s">
        <v>52</v>
      </c>
      <c r="V235" s="1"/>
      <c r="AB235" s="1"/>
    </row>
    <row r="236" spans="1:28" x14ac:dyDescent="0.25">
      <c r="A236" t="s">
        <v>96</v>
      </c>
      <c r="B236">
        <v>2.4142025629033999E+18</v>
      </c>
      <c r="D236" s="1"/>
      <c r="E236" s="1"/>
      <c r="I236" t="s">
        <v>22</v>
      </c>
      <c r="J236" t="s">
        <v>20</v>
      </c>
      <c r="L236">
        <v>14025</v>
      </c>
      <c r="M236" s="1">
        <v>43760</v>
      </c>
      <c r="N236" t="s">
        <v>24</v>
      </c>
      <c r="Q236" s="1"/>
      <c r="R236">
        <v>2000001583</v>
      </c>
      <c r="S236" s="1">
        <v>43846</v>
      </c>
      <c r="T236" t="s">
        <v>221</v>
      </c>
      <c r="V236" s="1"/>
      <c r="AB236" s="1"/>
    </row>
    <row r="237" spans="1:28" x14ac:dyDescent="0.25">
      <c r="A237" t="s">
        <v>47</v>
      </c>
      <c r="B237" t="s">
        <v>119</v>
      </c>
      <c r="D237" s="1"/>
      <c r="E237" s="1"/>
      <c r="I237" t="s">
        <v>22</v>
      </c>
      <c r="J237" t="s">
        <v>53</v>
      </c>
      <c r="K237" t="s">
        <v>23</v>
      </c>
      <c r="L237">
        <v>1112</v>
      </c>
      <c r="M237" s="1">
        <v>43488</v>
      </c>
      <c r="N237" t="s">
        <v>24</v>
      </c>
      <c r="Q237" s="1"/>
      <c r="R237">
        <v>2000001589</v>
      </c>
      <c r="S237" s="1">
        <v>43846</v>
      </c>
      <c r="T237" t="s">
        <v>216</v>
      </c>
      <c r="V237" s="1"/>
      <c r="AB237" s="1"/>
    </row>
    <row r="238" spans="1:28" x14ac:dyDescent="0.25">
      <c r="A238" t="s">
        <v>46</v>
      </c>
      <c r="B238">
        <v>2.9992015408021002E+18</v>
      </c>
      <c r="D238" s="1"/>
      <c r="E238" s="1"/>
      <c r="I238" t="s">
        <v>22</v>
      </c>
      <c r="J238" t="s">
        <v>40</v>
      </c>
      <c r="K238" t="s">
        <v>23</v>
      </c>
      <c r="L238">
        <v>4302</v>
      </c>
      <c r="M238" s="1">
        <v>43770</v>
      </c>
      <c r="N238" t="s">
        <v>24</v>
      </c>
      <c r="Q238" s="1"/>
      <c r="R238">
        <v>2000001598</v>
      </c>
      <c r="S238" s="1">
        <v>43846</v>
      </c>
      <c r="T238" t="s">
        <v>218</v>
      </c>
      <c r="V238" s="1"/>
      <c r="AB238" s="1"/>
    </row>
    <row r="239" spans="1:28" x14ac:dyDescent="0.25">
      <c r="A239" t="s">
        <v>51</v>
      </c>
      <c r="B239" t="s">
        <v>126</v>
      </c>
      <c r="D239" s="1"/>
      <c r="E239" s="1"/>
      <c r="H239">
        <v>13</v>
      </c>
      <c r="I239" t="s">
        <v>22</v>
      </c>
      <c r="J239" t="s">
        <v>35</v>
      </c>
      <c r="K239" t="s">
        <v>54</v>
      </c>
      <c r="L239">
        <v>21875</v>
      </c>
      <c r="M239" s="1">
        <v>43507</v>
      </c>
      <c r="N239" t="s">
        <v>24</v>
      </c>
      <c r="Q239" s="1"/>
      <c r="R239">
        <v>2000001604</v>
      </c>
      <c r="S239" s="1">
        <v>43846</v>
      </c>
      <c r="T239" t="s">
        <v>212</v>
      </c>
      <c r="V239" s="1"/>
      <c r="AB239" s="1"/>
    </row>
    <row r="240" spans="1:28" x14ac:dyDescent="0.25">
      <c r="D240" s="1"/>
      <c r="E240" s="1"/>
      <c r="H240">
        <v>2</v>
      </c>
      <c r="I240" t="s">
        <v>22</v>
      </c>
      <c r="M240" s="1"/>
      <c r="Q240" s="1"/>
      <c r="S240" s="1"/>
      <c r="T240" t="s">
        <v>27</v>
      </c>
      <c r="U240" t="s">
        <v>355</v>
      </c>
      <c r="V240" s="1">
        <v>43755</v>
      </c>
      <c r="AB240" s="1"/>
    </row>
    <row r="241" spans="4:28" x14ac:dyDescent="0.25">
      <c r="D241" s="1"/>
      <c r="E241" s="1"/>
      <c r="H241">
        <v>2</v>
      </c>
      <c r="I241" t="s">
        <v>22</v>
      </c>
      <c r="M241" s="1"/>
      <c r="Q241" s="1"/>
      <c r="S241" s="1"/>
      <c r="T241" t="s">
        <v>27</v>
      </c>
      <c r="V241" s="1">
        <v>43755</v>
      </c>
      <c r="AB241" s="1"/>
    </row>
    <row r="242" spans="4:28" x14ac:dyDescent="0.25">
      <c r="D242" s="1"/>
      <c r="E242" s="1"/>
      <c r="H242">
        <v>2</v>
      </c>
      <c r="I242" t="s">
        <v>22</v>
      </c>
      <c r="M242" s="1"/>
      <c r="Q242" s="1"/>
      <c r="S242" s="1"/>
      <c r="T242" t="s">
        <v>27</v>
      </c>
      <c r="U242" t="s">
        <v>356</v>
      </c>
      <c r="V242" s="1">
        <v>43823</v>
      </c>
      <c r="AB242" s="1"/>
    </row>
    <row r="243" spans="4:28" x14ac:dyDescent="0.25">
      <c r="D243" s="1"/>
      <c r="E243" s="1"/>
      <c r="H243">
        <v>2</v>
      </c>
      <c r="I243" t="s">
        <v>22</v>
      </c>
      <c r="M243" s="1"/>
      <c r="Q243" s="1"/>
      <c r="S243" s="1"/>
      <c r="T243" t="s">
        <v>27</v>
      </c>
      <c r="U243" t="s">
        <v>357</v>
      </c>
      <c r="V243" s="1">
        <v>43833</v>
      </c>
      <c r="AB243" s="1"/>
    </row>
    <row r="244" spans="4:28" x14ac:dyDescent="0.25">
      <c r="D244" s="1"/>
      <c r="E244" s="1"/>
      <c r="H244">
        <v>2</v>
      </c>
      <c r="I244" t="s">
        <v>22</v>
      </c>
      <c r="M244" s="1"/>
      <c r="Q244" s="1"/>
      <c r="S244" s="1"/>
      <c r="T244" t="s">
        <v>27</v>
      </c>
      <c r="U244" t="s">
        <v>358</v>
      </c>
      <c r="V244" s="1">
        <v>43838</v>
      </c>
      <c r="AB244" s="1"/>
    </row>
    <row r="245" spans="4:28" x14ac:dyDescent="0.25">
      <c r="D245" s="1"/>
      <c r="E245" s="1"/>
      <c r="H245">
        <v>2</v>
      </c>
      <c r="I245" t="s">
        <v>22</v>
      </c>
      <c r="M245" s="1"/>
      <c r="Q245" s="1"/>
      <c r="S245" s="1"/>
      <c r="T245" t="s">
        <v>27</v>
      </c>
      <c r="U245" t="s">
        <v>359</v>
      </c>
      <c r="V245" s="1">
        <v>43838</v>
      </c>
      <c r="AB245" s="1"/>
    </row>
    <row r="246" spans="4:28" x14ac:dyDescent="0.25">
      <c r="D246" s="1"/>
      <c r="E246" s="1"/>
      <c r="H246">
        <v>2</v>
      </c>
      <c r="I246" t="s">
        <v>22</v>
      </c>
      <c r="M246" s="1"/>
      <c r="Q246" s="1"/>
      <c r="S246" s="1"/>
      <c r="T246" t="s">
        <v>27</v>
      </c>
      <c r="U246" t="s">
        <v>360</v>
      </c>
      <c r="V246" s="1">
        <v>43839</v>
      </c>
      <c r="AB246" s="1"/>
    </row>
    <row r="247" spans="4:28" x14ac:dyDescent="0.25">
      <c r="D247" s="1"/>
      <c r="E247" s="1"/>
      <c r="H247">
        <v>1</v>
      </c>
      <c r="I247" t="s">
        <v>22</v>
      </c>
      <c r="M247" s="1"/>
      <c r="Q247" s="1"/>
      <c r="S247" s="1"/>
      <c r="T247" t="s">
        <v>21</v>
      </c>
      <c r="U247" t="s">
        <v>361</v>
      </c>
      <c r="V247" s="1">
        <v>43832</v>
      </c>
      <c r="AB247" s="1"/>
    </row>
    <row r="248" spans="4:28" x14ac:dyDescent="0.25">
      <c r="D248" s="1"/>
      <c r="E248" s="1"/>
      <c r="H248">
        <v>1</v>
      </c>
      <c r="I248" t="s">
        <v>22</v>
      </c>
      <c r="M248" s="1"/>
      <c r="Q248" s="1"/>
      <c r="S248" s="1"/>
      <c r="T248" t="s">
        <v>21</v>
      </c>
      <c r="U248" t="s">
        <v>362</v>
      </c>
      <c r="V248" s="1">
        <v>43833</v>
      </c>
      <c r="AB248" s="1"/>
    </row>
    <row r="249" spans="4:28" x14ac:dyDescent="0.25">
      <c r="D249" s="1"/>
      <c r="E249" s="1"/>
      <c r="H249">
        <v>1</v>
      </c>
      <c r="I249" t="s">
        <v>22</v>
      </c>
      <c r="M249" s="1"/>
      <c r="Q249" s="1"/>
      <c r="S249" s="1"/>
      <c r="T249" t="s">
        <v>21</v>
      </c>
      <c r="U249" t="s">
        <v>362</v>
      </c>
      <c r="V249" s="1">
        <v>43836</v>
      </c>
      <c r="AB249" s="1"/>
    </row>
    <row r="250" spans="4:28" x14ac:dyDescent="0.25">
      <c r="D250" s="1"/>
      <c r="E250" s="1"/>
      <c r="H250">
        <v>1</v>
      </c>
      <c r="I250" t="s">
        <v>22</v>
      </c>
      <c r="M250" s="1"/>
      <c r="Q250" s="1"/>
      <c r="S250" s="1"/>
      <c r="T250" t="s">
        <v>21</v>
      </c>
      <c r="U250" t="s">
        <v>362</v>
      </c>
      <c r="V250" s="1">
        <v>43837</v>
      </c>
      <c r="AB250" s="1"/>
    </row>
    <row r="251" spans="4:28" x14ac:dyDescent="0.25">
      <c r="D251" s="1"/>
      <c r="E251" s="1"/>
      <c r="H251">
        <v>1</v>
      </c>
      <c r="I251" t="s">
        <v>22</v>
      </c>
      <c r="M251" s="1"/>
      <c r="Q251" s="1"/>
      <c r="S251" s="1"/>
      <c r="T251" t="s">
        <v>21</v>
      </c>
      <c r="U251" t="s">
        <v>362</v>
      </c>
      <c r="V251" s="1">
        <v>43838</v>
      </c>
      <c r="AB251" s="1"/>
    </row>
    <row r="252" spans="4:28" x14ac:dyDescent="0.25">
      <c r="D252" s="1"/>
      <c r="E252" s="1"/>
      <c r="H252">
        <v>3</v>
      </c>
      <c r="I252" t="s">
        <v>22</v>
      </c>
      <c r="M252" s="1"/>
      <c r="Q252" s="1"/>
      <c r="S252" s="1"/>
      <c r="T252" t="s">
        <v>52</v>
      </c>
      <c r="U252" t="s">
        <v>360</v>
      </c>
      <c r="V252" s="1">
        <v>43843</v>
      </c>
      <c r="AB252" s="1"/>
    </row>
    <row r="253" spans="4:28" x14ac:dyDescent="0.25">
      <c r="D253" s="1"/>
      <c r="E253" s="1"/>
      <c r="H253">
        <v>3</v>
      </c>
      <c r="I253" t="s">
        <v>22</v>
      </c>
      <c r="M253" s="1"/>
      <c r="Q253" s="1"/>
      <c r="S253" s="1"/>
      <c r="T253" t="s">
        <v>52</v>
      </c>
      <c r="U253" t="s">
        <v>363</v>
      </c>
      <c r="V253" s="1">
        <v>43843</v>
      </c>
      <c r="AB253" s="1"/>
    </row>
    <row r="254" spans="4:28" x14ac:dyDescent="0.25">
      <c r="D254" s="1"/>
      <c r="E254" s="1"/>
      <c r="H254">
        <v>3</v>
      </c>
      <c r="I254" t="s">
        <v>22</v>
      </c>
      <c r="M254" s="1"/>
      <c r="Q254" s="1"/>
      <c r="S254" s="1"/>
      <c r="T254" t="s">
        <v>52</v>
      </c>
      <c r="U254" t="s">
        <v>362</v>
      </c>
      <c r="V254" s="1">
        <v>43839</v>
      </c>
      <c r="AB254" s="1"/>
    </row>
    <row r="255" spans="4:28" x14ac:dyDescent="0.25">
      <c r="D255" s="1"/>
      <c r="E255" s="1"/>
      <c r="H255">
        <v>3</v>
      </c>
      <c r="I255" t="s">
        <v>22</v>
      </c>
      <c r="M255" s="1"/>
      <c r="Q255" s="1"/>
      <c r="S255" s="1"/>
      <c r="T255" t="s">
        <v>52</v>
      </c>
      <c r="V255" s="1">
        <v>43840</v>
      </c>
      <c r="AB255" s="1"/>
    </row>
    <row r="256" spans="4:28" x14ac:dyDescent="0.25">
      <c r="D256" s="1"/>
      <c r="E256" s="1"/>
      <c r="H256">
        <v>6</v>
      </c>
      <c r="I256" t="s">
        <v>22</v>
      </c>
      <c r="M256" s="1"/>
      <c r="Q256" s="1"/>
      <c r="S256" s="1"/>
      <c r="T256" t="s">
        <v>65</v>
      </c>
      <c r="U256" t="s">
        <v>364</v>
      </c>
      <c r="V256" s="1">
        <v>43833</v>
      </c>
      <c r="AB256" s="1"/>
    </row>
    <row r="257" spans="4:28" x14ac:dyDescent="0.25">
      <c r="D257" s="1"/>
      <c r="E257" s="1"/>
      <c r="H257">
        <v>6</v>
      </c>
      <c r="I257" t="s">
        <v>22</v>
      </c>
      <c r="M257" s="1"/>
      <c r="Q257" s="1"/>
      <c r="S257" s="1"/>
      <c r="T257" t="s">
        <v>65</v>
      </c>
      <c r="V257" s="1">
        <v>43838</v>
      </c>
      <c r="AB257" s="1"/>
    </row>
    <row r="258" spans="4:28" x14ac:dyDescent="0.25">
      <c r="D258" s="1"/>
      <c r="E258" s="1"/>
      <c r="H258">
        <v>6</v>
      </c>
      <c r="I258" t="s">
        <v>22</v>
      </c>
      <c r="M258" s="1"/>
      <c r="Q258" s="1"/>
      <c r="S258" s="1"/>
      <c r="T258" t="s">
        <v>65</v>
      </c>
      <c r="U258" t="s">
        <v>365</v>
      </c>
      <c r="V258" s="1">
        <v>43843</v>
      </c>
      <c r="AB258" s="1"/>
    </row>
    <row r="259" spans="4:28" x14ac:dyDescent="0.25">
      <c r="D259" s="1"/>
      <c r="E259" s="1"/>
      <c r="H259">
        <v>6</v>
      </c>
      <c r="I259" t="s">
        <v>22</v>
      </c>
      <c r="M259" s="1"/>
      <c r="Q259" s="1"/>
      <c r="S259" s="1"/>
      <c r="T259" t="s">
        <v>65</v>
      </c>
      <c r="V259" s="1">
        <v>43839</v>
      </c>
      <c r="AB259" s="1"/>
    </row>
    <row r="260" spans="4:28" x14ac:dyDescent="0.25">
      <c r="D260" s="1"/>
      <c r="E260" s="1"/>
      <c r="H260">
        <v>4</v>
      </c>
      <c r="I260" t="s">
        <v>22</v>
      </c>
      <c r="M260" s="1"/>
      <c r="Q260" s="1"/>
      <c r="S260" s="1"/>
      <c r="T260" t="s">
        <v>137</v>
      </c>
      <c r="U260" t="s">
        <v>366</v>
      </c>
      <c r="V260" s="1">
        <v>43836</v>
      </c>
      <c r="AB260" s="1"/>
    </row>
    <row r="261" spans="4:28" x14ac:dyDescent="0.25">
      <c r="D261" s="1"/>
      <c r="E261" s="1"/>
      <c r="H261">
        <v>4</v>
      </c>
      <c r="I261" t="s">
        <v>22</v>
      </c>
      <c r="M261" s="1"/>
      <c r="Q261" s="1"/>
      <c r="S261" s="1"/>
      <c r="T261" t="s">
        <v>137</v>
      </c>
      <c r="V261" s="1">
        <v>43850</v>
      </c>
      <c r="AB261" s="1"/>
    </row>
    <row r="262" spans="4:28" x14ac:dyDescent="0.25">
      <c r="D262" s="1"/>
      <c r="E262" s="1"/>
      <c r="H262">
        <v>4</v>
      </c>
      <c r="I262" t="s">
        <v>22</v>
      </c>
      <c r="M262" s="1"/>
      <c r="Q262" s="1"/>
      <c r="S262" s="1"/>
      <c r="T262" t="s">
        <v>137</v>
      </c>
      <c r="U262" t="s">
        <v>367</v>
      </c>
      <c r="V262" s="1">
        <v>43850</v>
      </c>
      <c r="AB262" s="1"/>
    </row>
    <row r="263" spans="4:28" x14ac:dyDescent="0.25">
      <c r="D263" s="1"/>
      <c r="E263" s="1"/>
      <c r="H263">
        <v>12</v>
      </c>
      <c r="I263" t="s">
        <v>22</v>
      </c>
      <c r="M263" s="1"/>
      <c r="Q263" s="1"/>
      <c r="S263" s="1"/>
      <c r="T263" t="s">
        <v>59</v>
      </c>
      <c r="U263" t="s">
        <v>368</v>
      </c>
      <c r="V263" s="1">
        <v>43851</v>
      </c>
      <c r="AB263" s="1"/>
    </row>
    <row r="264" spans="4:28" x14ac:dyDescent="0.25">
      <c r="D264" s="1"/>
      <c r="E264" s="1"/>
      <c r="H264">
        <v>12</v>
      </c>
      <c r="I264" t="s">
        <v>22</v>
      </c>
      <c r="M264" s="1"/>
      <c r="Q264" s="1"/>
      <c r="S264" s="1"/>
      <c r="T264" t="s">
        <v>59</v>
      </c>
      <c r="U264" t="s">
        <v>369</v>
      </c>
      <c r="V264" s="1">
        <v>43851</v>
      </c>
      <c r="AB264" s="1"/>
    </row>
    <row r="265" spans="4:28" x14ac:dyDescent="0.25">
      <c r="D265" s="1"/>
      <c r="E265" s="1"/>
      <c r="H265">
        <v>12</v>
      </c>
      <c r="I265" t="s">
        <v>22</v>
      </c>
      <c r="M265" s="1"/>
      <c r="Q265" s="1"/>
      <c r="S265" s="1"/>
      <c r="T265" t="s">
        <v>59</v>
      </c>
      <c r="U265" t="s">
        <v>360</v>
      </c>
      <c r="V265" s="1">
        <v>43851</v>
      </c>
      <c r="AB265" s="1"/>
    </row>
    <row r="266" spans="4:28" x14ac:dyDescent="0.25">
      <c r="D266" s="1"/>
      <c r="E266" s="1"/>
      <c r="H266">
        <v>12</v>
      </c>
      <c r="I266" t="s">
        <v>22</v>
      </c>
      <c r="M266" s="1"/>
      <c r="Q266" s="1"/>
      <c r="S266" s="1"/>
      <c r="T266" t="s">
        <v>59</v>
      </c>
      <c r="U266" t="s">
        <v>360</v>
      </c>
      <c r="V266" s="1">
        <v>43852</v>
      </c>
      <c r="AB266" s="1"/>
    </row>
    <row r="267" spans="4:28" x14ac:dyDescent="0.25">
      <c r="D267" s="1"/>
      <c r="E267" s="1"/>
      <c r="H267">
        <v>9</v>
      </c>
      <c r="I267" t="s">
        <v>22</v>
      </c>
      <c r="M267" s="1"/>
      <c r="Q267" s="1"/>
      <c r="S267" s="1"/>
      <c r="T267" t="s">
        <v>49</v>
      </c>
      <c r="U267" t="s">
        <v>370</v>
      </c>
      <c r="V267" s="1">
        <v>43843</v>
      </c>
      <c r="AB267" s="1"/>
    </row>
    <row r="268" spans="4:28" x14ac:dyDescent="0.25">
      <c r="D268" s="1"/>
      <c r="E268" s="1"/>
      <c r="H268">
        <v>9</v>
      </c>
      <c r="I268" t="s">
        <v>22</v>
      </c>
      <c r="M268" s="1"/>
      <c r="Q268" s="1"/>
      <c r="S268" s="1"/>
      <c r="T268" t="s">
        <v>49</v>
      </c>
      <c r="U268" t="s">
        <v>370</v>
      </c>
      <c r="V268" s="1">
        <v>43839</v>
      </c>
      <c r="AB268" s="1"/>
    </row>
    <row r="269" spans="4:28" x14ac:dyDescent="0.25">
      <c r="D269" s="1"/>
      <c r="E269" s="1"/>
      <c r="H269">
        <v>9</v>
      </c>
      <c r="I269" t="s">
        <v>22</v>
      </c>
      <c r="M269" s="1"/>
      <c r="Q269" s="1"/>
      <c r="S269" s="1"/>
      <c r="T269" t="s">
        <v>49</v>
      </c>
      <c r="U269" t="s">
        <v>370</v>
      </c>
      <c r="V269" s="1">
        <v>43851</v>
      </c>
      <c r="AB269" s="1"/>
    </row>
    <row r="270" spans="4:28" x14ac:dyDescent="0.25">
      <c r="D270" s="1"/>
      <c r="E270" s="1"/>
      <c r="H270">
        <v>11</v>
      </c>
      <c r="I270" t="s">
        <v>22</v>
      </c>
      <c r="M270" s="1"/>
      <c r="Q270" s="1"/>
      <c r="S270" s="1"/>
      <c r="T270" t="s">
        <v>81</v>
      </c>
      <c r="U270" t="s">
        <v>370</v>
      </c>
      <c r="V270" s="1">
        <v>43852</v>
      </c>
      <c r="AB270" s="1"/>
    </row>
    <row r="271" spans="4:28" x14ac:dyDescent="0.25">
      <c r="D271" s="1"/>
      <c r="E271" s="1"/>
      <c r="H271">
        <v>11</v>
      </c>
      <c r="I271" t="s">
        <v>22</v>
      </c>
      <c r="M271" s="1"/>
      <c r="Q271" s="1"/>
      <c r="S271" s="1"/>
      <c r="T271" t="s">
        <v>81</v>
      </c>
      <c r="V271" s="1">
        <v>43850</v>
      </c>
      <c r="AB271" s="1"/>
    </row>
    <row r="272" spans="4:28" x14ac:dyDescent="0.25">
      <c r="D272" s="1"/>
      <c r="E272" s="1"/>
      <c r="H272">
        <v>10</v>
      </c>
      <c r="I272" t="s">
        <v>22</v>
      </c>
      <c r="M272" s="1"/>
      <c r="Q272" s="1"/>
      <c r="S272" s="1"/>
      <c r="T272" t="s">
        <v>39</v>
      </c>
      <c r="U272" t="s">
        <v>370</v>
      </c>
      <c r="V272" s="1">
        <v>43852</v>
      </c>
      <c r="AB272" s="1"/>
    </row>
    <row r="273" spans="4:33" x14ac:dyDescent="0.25">
      <c r="D273" s="1"/>
      <c r="E273" s="1"/>
      <c r="H273">
        <v>10</v>
      </c>
      <c r="I273" t="s">
        <v>22</v>
      </c>
      <c r="M273" s="1"/>
      <c r="Q273" s="1"/>
      <c r="S273" s="1"/>
      <c r="T273" t="s">
        <v>39</v>
      </c>
      <c r="U273" t="s">
        <v>369</v>
      </c>
      <c r="V273" s="1">
        <v>43843</v>
      </c>
      <c r="AB273" s="1"/>
    </row>
    <row r="274" spans="4:33" x14ac:dyDescent="0.25">
      <c r="D274" s="1"/>
      <c r="E274" s="1"/>
      <c r="F274" t="s">
        <v>38</v>
      </c>
      <c r="M274" s="1"/>
      <c r="Q274" s="1"/>
      <c r="S274" s="1"/>
      <c r="T274" t="s">
        <v>52</v>
      </c>
      <c r="V274" s="1"/>
      <c r="W274" t="s">
        <v>233</v>
      </c>
      <c r="X274" t="s">
        <v>234</v>
      </c>
      <c r="Y274">
        <v>3</v>
      </c>
      <c r="Z274">
        <v>8000000</v>
      </c>
      <c r="AA274">
        <v>400000</v>
      </c>
      <c r="AB274" s="1">
        <v>43782</v>
      </c>
      <c r="AC274" t="s">
        <v>235</v>
      </c>
      <c r="AD274" t="s">
        <v>22</v>
      </c>
      <c r="AE274" t="s">
        <v>40</v>
      </c>
      <c r="AF274" t="s">
        <v>236</v>
      </c>
      <c r="AG274" t="s">
        <v>237</v>
      </c>
    </row>
    <row r="275" spans="4:33" x14ac:dyDescent="0.25">
      <c r="D275" s="1"/>
      <c r="E275" s="1"/>
      <c r="F275" t="s">
        <v>38</v>
      </c>
      <c r="M275" s="1"/>
      <c r="Q275" s="1"/>
      <c r="S275" s="1"/>
      <c r="T275" t="s">
        <v>21</v>
      </c>
      <c r="V275" s="1"/>
      <c r="W275" t="s">
        <v>238</v>
      </c>
      <c r="X275" t="s">
        <v>239</v>
      </c>
      <c r="Y275">
        <v>1</v>
      </c>
      <c r="Z275">
        <v>200000</v>
      </c>
      <c r="AA275">
        <v>30000</v>
      </c>
      <c r="AB275" s="1">
        <v>43921</v>
      </c>
      <c r="AC275" t="s">
        <v>235</v>
      </c>
      <c r="AD275" t="s">
        <v>22</v>
      </c>
      <c r="AE275" t="s">
        <v>40</v>
      </c>
      <c r="AF275" t="s">
        <v>236</v>
      </c>
      <c r="AG275" t="s">
        <v>240</v>
      </c>
    </row>
    <row r="276" spans="4:33" x14ac:dyDescent="0.25">
      <c r="D276" s="1"/>
      <c r="E276" s="1"/>
      <c r="F276" t="s">
        <v>20</v>
      </c>
      <c r="M276" s="1"/>
      <c r="Q276" s="1"/>
      <c r="S276" s="1"/>
      <c r="T276" t="s">
        <v>21</v>
      </c>
      <c r="V276" s="1"/>
      <c r="W276" t="s">
        <v>241</v>
      </c>
      <c r="X276" t="s">
        <v>242</v>
      </c>
      <c r="Y276">
        <v>1</v>
      </c>
      <c r="Z276">
        <v>0</v>
      </c>
      <c r="AA276">
        <v>100000</v>
      </c>
      <c r="AB276" s="1">
        <v>44012</v>
      </c>
      <c r="AC276" t="s">
        <v>235</v>
      </c>
      <c r="AD276" t="s">
        <v>22</v>
      </c>
      <c r="AE276" t="s">
        <v>20</v>
      </c>
      <c r="AF276" t="s">
        <v>243</v>
      </c>
      <c r="AG276" t="s">
        <v>244</v>
      </c>
    </row>
    <row r="277" spans="4:33" x14ac:dyDescent="0.25">
      <c r="D277" s="1"/>
      <c r="E277" s="1"/>
      <c r="F277" t="s">
        <v>20</v>
      </c>
      <c r="M277" s="1"/>
      <c r="Q277" s="1"/>
      <c r="S277" s="1"/>
      <c r="T277" t="s">
        <v>21</v>
      </c>
      <c r="V277" s="1"/>
      <c r="W277" t="s">
        <v>245</v>
      </c>
      <c r="X277" t="s">
        <v>246</v>
      </c>
      <c r="Y277">
        <v>1</v>
      </c>
      <c r="Z277">
        <v>0</v>
      </c>
      <c r="AA277">
        <v>100000</v>
      </c>
      <c r="AB277" s="1">
        <v>43921</v>
      </c>
      <c r="AC277" t="s">
        <v>235</v>
      </c>
      <c r="AD277" t="s">
        <v>22</v>
      </c>
      <c r="AE277" t="s">
        <v>20</v>
      </c>
      <c r="AF277" t="s">
        <v>243</v>
      </c>
      <c r="AG277" t="s">
        <v>244</v>
      </c>
    </row>
    <row r="278" spans="4:33" x14ac:dyDescent="0.25">
      <c r="D278" s="1"/>
      <c r="E278" s="1"/>
      <c r="F278" t="s">
        <v>34</v>
      </c>
      <c r="M278" s="1"/>
      <c r="Q278" s="1"/>
      <c r="S278" s="1"/>
      <c r="T278" t="s">
        <v>21</v>
      </c>
      <c r="V278" s="1"/>
      <c r="W278" t="s">
        <v>247</v>
      </c>
      <c r="X278" t="s">
        <v>248</v>
      </c>
      <c r="Y278">
        <v>1</v>
      </c>
      <c r="Z278">
        <v>1200000</v>
      </c>
      <c r="AA278">
        <v>100000</v>
      </c>
      <c r="AB278" s="1">
        <v>43921</v>
      </c>
      <c r="AC278" t="s">
        <v>235</v>
      </c>
      <c r="AD278" t="s">
        <v>22</v>
      </c>
      <c r="AE278" t="s">
        <v>85</v>
      </c>
      <c r="AF278" t="s">
        <v>34</v>
      </c>
      <c r="AG278" t="s">
        <v>249</v>
      </c>
    </row>
    <row r="279" spans="4:33" x14ac:dyDescent="0.25">
      <c r="D279" s="1"/>
      <c r="E279" s="1"/>
      <c r="F279" t="s">
        <v>35</v>
      </c>
      <c r="M279" s="1"/>
      <c r="Q279" s="1"/>
      <c r="S279" s="1"/>
      <c r="T279" t="s">
        <v>21</v>
      </c>
      <c r="V279" s="1"/>
      <c r="W279" t="s">
        <v>250</v>
      </c>
      <c r="X279" t="s">
        <v>251</v>
      </c>
      <c r="Y279">
        <v>1</v>
      </c>
      <c r="Z279">
        <v>0</v>
      </c>
      <c r="AA279">
        <v>100000</v>
      </c>
      <c r="AB279" s="1">
        <v>43982</v>
      </c>
      <c r="AC279" t="s">
        <v>235</v>
      </c>
      <c r="AD279" t="s">
        <v>22</v>
      </c>
      <c r="AE279" t="s">
        <v>35</v>
      </c>
      <c r="AF279" t="s">
        <v>252</v>
      </c>
      <c r="AG279" t="s">
        <v>253</v>
      </c>
    </row>
    <row r="280" spans="4:33" x14ac:dyDescent="0.25">
      <c r="D280" s="1"/>
      <c r="E280" s="1"/>
      <c r="F280" t="s">
        <v>20</v>
      </c>
      <c r="M280" s="1"/>
      <c r="Q280" s="1"/>
      <c r="S280" s="1"/>
      <c r="T280" t="s">
        <v>21</v>
      </c>
      <c r="V280" s="1"/>
      <c r="W280" t="s">
        <v>254</v>
      </c>
      <c r="X280" t="s">
        <v>255</v>
      </c>
      <c r="Y280">
        <v>1</v>
      </c>
      <c r="Z280">
        <v>0</v>
      </c>
      <c r="AA280">
        <v>100000</v>
      </c>
      <c r="AB280" s="1">
        <v>43982</v>
      </c>
      <c r="AC280" t="s">
        <v>235</v>
      </c>
      <c r="AD280" t="s">
        <v>22</v>
      </c>
      <c r="AE280" t="s">
        <v>20</v>
      </c>
      <c r="AF280" t="s">
        <v>243</v>
      </c>
      <c r="AG280" t="s">
        <v>244</v>
      </c>
    </row>
    <row r="281" spans="4:33" x14ac:dyDescent="0.25">
      <c r="D281" s="1"/>
      <c r="E281" s="1"/>
      <c r="F281" t="s">
        <v>38</v>
      </c>
      <c r="M281" s="1"/>
      <c r="Q281" s="1"/>
      <c r="S281" s="1"/>
      <c r="T281" t="s">
        <v>21</v>
      </c>
      <c r="V281" s="1"/>
      <c r="W281" t="s">
        <v>256</v>
      </c>
      <c r="X281" t="s">
        <v>257</v>
      </c>
      <c r="Y281">
        <v>1</v>
      </c>
      <c r="Z281">
        <v>0</v>
      </c>
      <c r="AA281">
        <v>125000</v>
      </c>
      <c r="AB281" s="1">
        <v>44012</v>
      </c>
      <c r="AC281" t="s">
        <v>235</v>
      </c>
      <c r="AD281" t="s">
        <v>22</v>
      </c>
      <c r="AE281" t="s">
        <v>40</v>
      </c>
      <c r="AF281" t="s">
        <v>236</v>
      </c>
      <c r="AG281" t="s">
        <v>237</v>
      </c>
    </row>
    <row r="282" spans="4:33" x14ac:dyDescent="0.25">
      <c r="D282" s="1"/>
      <c r="E282" s="1"/>
      <c r="F282" t="s">
        <v>20</v>
      </c>
      <c r="M282" s="1"/>
      <c r="Q282" s="1"/>
      <c r="S282" s="1"/>
      <c r="T282" t="s">
        <v>21</v>
      </c>
      <c r="V282" s="1"/>
      <c r="W282" t="s">
        <v>258</v>
      </c>
      <c r="X282" t="s">
        <v>259</v>
      </c>
      <c r="Y282">
        <v>1</v>
      </c>
      <c r="Z282">
        <v>0</v>
      </c>
      <c r="AA282">
        <v>100000</v>
      </c>
      <c r="AB282" s="1">
        <v>43921</v>
      </c>
      <c r="AC282" t="s">
        <v>235</v>
      </c>
      <c r="AD282" t="s">
        <v>22</v>
      </c>
      <c r="AE282" t="s">
        <v>20</v>
      </c>
      <c r="AF282" t="s">
        <v>243</v>
      </c>
      <c r="AG282" t="s">
        <v>244</v>
      </c>
    </row>
    <row r="283" spans="4:33" x14ac:dyDescent="0.25">
      <c r="D283" s="1"/>
      <c r="E283" s="1"/>
      <c r="F283" t="s">
        <v>20</v>
      </c>
      <c r="M283" s="1"/>
      <c r="Q283" s="1"/>
      <c r="S283" s="1"/>
      <c r="T283" t="s">
        <v>59</v>
      </c>
      <c r="V283" s="1"/>
      <c r="W283" t="s">
        <v>260</v>
      </c>
      <c r="X283" t="s">
        <v>261</v>
      </c>
      <c r="Y283">
        <v>12</v>
      </c>
      <c r="Z283">
        <v>0</v>
      </c>
      <c r="AA283">
        <v>200000</v>
      </c>
      <c r="AB283" s="1">
        <v>43921</v>
      </c>
      <c r="AC283" t="s">
        <v>235</v>
      </c>
      <c r="AD283" t="s">
        <v>22</v>
      </c>
      <c r="AE283" t="s">
        <v>20</v>
      </c>
      <c r="AF283" t="s">
        <v>243</v>
      </c>
      <c r="AG283" t="s">
        <v>244</v>
      </c>
    </row>
    <row r="284" spans="4:33" x14ac:dyDescent="0.25">
      <c r="D284" s="1"/>
      <c r="E284" s="1"/>
      <c r="F284" t="s">
        <v>38</v>
      </c>
      <c r="M284" s="1"/>
      <c r="Q284" s="1"/>
      <c r="S284" s="1"/>
      <c r="T284" t="s">
        <v>59</v>
      </c>
      <c r="V284" s="1"/>
      <c r="W284" t="s">
        <v>262</v>
      </c>
      <c r="X284" t="s">
        <v>263</v>
      </c>
      <c r="Y284">
        <v>12</v>
      </c>
      <c r="Z284">
        <v>0</v>
      </c>
      <c r="AA284">
        <v>75000</v>
      </c>
      <c r="AB284" s="1">
        <v>43921</v>
      </c>
      <c r="AC284" t="s">
        <v>235</v>
      </c>
      <c r="AD284" t="s">
        <v>22</v>
      </c>
      <c r="AE284" t="s">
        <v>40</v>
      </c>
      <c r="AF284" t="s">
        <v>236</v>
      </c>
      <c r="AG284" t="s">
        <v>237</v>
      </c>
    </row>
    <row r="285" spans="4:33" x14ac:dyDescent="0.25">
      <c r="D285" s="1"/>
      <c r="E285" s="1"/>
      <c r="F285" t="s">
        <v>38</v>
      </c>
      <c r="M285" s="1"/>
      <c r="Q285" s="1"/>
      <c r="S285" s="1"/>
      <c r="T285" t="s">
        <v>59</v>
      </c>
      <c r="V285" s="1"/>
      <c r="W285" t="s">
        <v>264</v>
      </c>
      <c r="X285" t="s">
        <v>265</v>
      </c>
      <c r="Y285">
        <v>12</v>
      </c>
      <c r="Z285">
        <v>0</v>
      </c>
      <c r="AA285">
        <v>25000</v>
      </c>
      <c r="AB285" s="1">
        <v>43921</v>
      </c>
      <c r="AC285" t="s">
        <v>235</v>
      </c>
      <c r="AD285" t="s">
        <v>22</v>
      </c>
      <c r="AE285" t="s">
        <v>40</v>
      </c>
      <c r="AF285" t="s">
        <v>236</v>
      </c>
      <c r="AG285" t="s">
        <v>240</v>
      </c>
    </row>
    <row r="286" spans="4:33" x14ac:dyDescent="0.25">
      <c r="D286" s="1"/>
      <c r="E286" s="1"/>
      <c r="F286" t="s">
        <v>38</v>
      </c>
      <c r="M286" s="1"/>
      <c r="Q286" s="1"/>
      <c r="S286" s="1"/>
      <c r="T286" t="s">
        <v>59</v>
      </c>
      <c r="V286" s="1"/>
      <c r="W286" t="s">
        <v>266</v>
      </c>
      <c r="X286" t="s">
        <v>267</v>
      </c>
      <c r="Y286">
        <v>12</v>
      </c>
      <c r="Z286">
        <v>2000000</v>
      </c>
      <c r="AA286">
        <v>150000</v>
      </c>
      <c r="AB286" s="1">
        <v>43982</v>
      </c>
      <c r="AC286" t="s">
        <v>235</v>
      </c>
      <c r="AD286" t="s">
        <v>22</v>
      </c>
      <c r="AE286" t="s">
        <v>40</v>
      </c>
      <c r="AF286" t="s">
        <v>236</v>
      </c>
      <c r="AG286" t="s">
        <v>237</v>
      </c>
    </row>
    <row r="287" spans="4:33" x14ac:dyDescent="0.25">
      <c r="D287" s="1"/>
      <c r="E287" s="1"/>
      <c r="F287" t="s">
        <v>35</v>
      </c>
      <c r="M287" s="1"/>
      <c r="Q287" s="1"/>
      <c r="S287" s="1"/>
      <c r="T287" t="s">
        <v>59</v>
      </c>
      <c r="V287" s="1"/>
      <c r="W287" t="s">
        <v>268</v>
      </c>
      <c r="X287" t="s">
        <v>269</v>
      </c>
      <c r="Y287">
        <v>12</v>
      </c>
      <c r="Z287">
        <v>500000</v>
      </c>
      <c r="AA287">
        <v>75000</v>
      </c>
      <c r="AB287" s="1">
        <v>43982</v>
      </c>
      <c r="AC287" t="s">
        <v>235</v>
      </c>
      <c r="AD287" t="s">
        <v>22</v>
      </c>
      <c r="AE287" t="s">
        <v>35</v>
      </c>
      <c r="AF287" t="s">
        <v>252</v>
      </c>
      <c r="AG287" t="s">
        <v>270</v>
      </c>
    </row>
    <row r="288" spans="4:33" x14ac:dyDescent="0.25">
      <c r="D288" s="1"/>
      <c r="E288" s="1"/>
      <c r="F288" t="s">
        <v>38</v>
      </c>
      <c r="M288" s="1"/>
      <c r="Q288" s="1"/>
      <c r="S288" s="1"/>
      <c r="T288" t="s">
        <v>52</v>
      </c>
      <c r="V288" s="1"/>
      <c r="W288" t="s">
        <v>271</v>
      </c>
      <c r="X288" t="s">
        <v>272</v>
      </c>
      <c r="Y288">
        <v>3</v>
      </c>
      <c r="Z288">
        <v>2500000</v>
      </c>
      <c r="AA288">
        <v>125000</v>
      </c>
      <c r="AB288" s="1">
        <v>43800</v>
      </c>
      <c r="AC288" t="s">
        <v>235</v>
      </c>
      <c r="AD288" t="s">
        <v>22</v>
      </c>
      <c r="AE288" t="s">
        <v>40</v>
      </c>
      <c r="AF288" t="s">
        <v>236</v>
      </c>
      <c r="AG288" t="s">
        <v>237</v>
      </c>
    </row>
    <row r="289" spans="4:33" x14ac:dyDescent="0.25">
      <c r="D289" s="1"/>
      <c r="E289" s="1"/>
      <c r="F289" t="s">
        <v>38</v>
      </c>
      <c r="M289" s="1"/>
      <c r="Q289" s="1"/>
      <c r="S289" s="1"/>
      <c r="T289" t="s">
        <v>39</v>
      </c>
      <c r="V289" s="1"/>
      <c r="W289" t="s">
        <v>273</v>
      </c>
      <c r="X289" t="s">
        <v>274</v>
      </c>
      <c r="Y289">
        <v>10</v>
      </c>
      <c r="Z289">
        <v>1400000</v>
      </c>
      <c r="AA289">
        <v>100000</v>
      </c>
      <c r="AB289" s="1">
        <v>43808</v>
      </c>
      <c r="AC289" t="s">
        <v>235</v>
      </c>
      <c r="AD289" t="s">
        <v>22</v>
      </c>
      <c r="AE289" t="s">
        <v>40</v>
      </c>
      <c r="AF289" t="s">
        <v>236</v>
      </c>
      <c r="AG289" t="s">
        <v>237</v>
      </c>
    </row>
    <row r="290" spans="4:33" x14ac:dyDescent="0.25">
      <c r="D290" s="1"/>
      <c r="E290" s="1"/>
      <c r="F290" t="s">
        <v>34</v>
      </c>
      <c r="M290" s="1"/>
      <c r="Q290" s="1"/>
      <c r="S290" s="1"/>
      <c r="T290" t="s">
        <v>39</v>
      </c>
      <c r="V290" s="1"/>
      <c r="W290" t="s">
        <v>275</v>
      </c>
      <c r="X290" t="s">
        <v>276</v>
      </c>
      <c r="Y290">
        <v>10</v>
      </c>
      <c r="Z290">
        <v>4500000</v>
      </c>
      <c r="AA290">
        <v>350000</v>
      </c>
      <c r="AB290" s="1">
        <v>43810</v>
      </c>
      <c r="AC290" t="s">
        <v>235</v>
      </c>
      <c r="AD290" t="s">
        <v>22</v>
      </c>
      <c r="AE290" t="s">
        <v>40</v>
      </c>
      <c r="AF290" t="s">
        <v>34</v>
      </c>
      <c r="AG290" t="s">
        <v>237</v>
      </c>
    </row>
    <row r="291" spans="4:33" x14ac:dyDescent="0.25">
      <c r="D291" s="1"/>
      <c r="E291" s="1"/>
      <c r="F291" t="s">
        <v>38</v>
      </c>
      <c r="M291" s="1"/>
      <c r="Q291" s="1"/>
      <c r="S291" s="1"/>
      <c r="T291" t="s">
        <v>52</v>
      </c>
      <c r="V291" s="1"/>
      <c r="W291" t="s">
        <v>277</v>
      </c>
      <c r="X291" t="s">
        <v>278</v>
      </c>
      <c r="Y291">
        <v>3</v>
      </c>
      <c r="Z291">
        <v>9500000</v>
      </c>
      <c r="AA291">
        <v>200000</v>
      </c>
      <c r="AB291" s="1">
        <v>43738</v>
      </c>
      <c r="AC291" t="s">
        <v>279</v>
      </c>
      <c r="AD291" t="s">
        <v>22</v>
      </c>
      <c r="AE291" t="s">
        <v>40</v>
      </c>
      <c r="AF291" t="s">
        <v>236</v>
      </c>
      <c r="AG291" t="s">
        <v>237</v>
      </c>
    </row>
    <row r="292" spans="4:33" x14ac:dyDescent="0.25">
      <c r="D292" s="1"/>
      <c r="E292" s="1"/>
      <c r="F292" t="s">
        <v>38</v>
      </c>
      <c r="M292" s="1"/>
      <c r="Q292" s="1"/>
      <c r="S292" s="1"/>
      <c r="T292" t="s">
        <v>39</v>
      </c>
      <c r="V292" s="1"/>
      <c r="W292" t="s">
        <v>280</v>
      </c>
      <c r="X292" t="s">
        <v>281</v>
      </c>
      <c r="Y292">
        <v>10</v>
      </c>
      <c r="Z292">
        <v>4500000</v>
      </c>
      <c r="AA292">
        <v>300000</v>
      </c>
      <c r="AB292" s="1">
        <v>43767</v>
      </c>
      <c r="AC292" t="s">
        <v>235</v>
      </c>
      <c r="AD292" t="s">
        <v>22</v>
      </c>
      <c r="AE292" t="s">
        <v>40</v>
      </c>
      <c r="AF292" t="s">
        <v>236</v>
      </c>
      <c r="AG292" t="s">
        <v>237</v>
      </c>
    </row>
    <row r="293" spans="4:33" x14ac:dyDescent="0.25">
      <c r="D293" s="1"/>
      <c r="E293" s="1"/>
      <c r="F293" t="s">
        <v>38</v>
      </c>
      <c r="M293" s="1"/>
      <c r="Q293" s="1"/>
      <c r="S293" s="1"/>
      <c r="T293" t="s">
        <v>52</v>
      </c>
      <c r="V293" s="1"/>
      <c r="W293" t="s">
        <v>282</v>
      </c>
      <c r="X293" t="s">
        <v>283</v>
      </c>
      <c r="Y293">
        <v>3</v>
      </c>
      <c r="Z293">
        <v>0</v>
      </c>
      <c r="AA293">
        <v>100000</v>
      </c>
      <c r="AB293" s="1">
        <v>43784</v>
      </c>
      <c r="AC293" t="s">
        <v>235</v>
      </c>
      <c r="AD293" t="s">
        <v>22</v>
      </c>
      <c r="AE293" t="s">
        <v>40</v>
      </c>
      <c r="AF293" t="s">
        <v>236</v>
      </c>
      <c r="AG293" t="s">
        <v>237</v>
      </c>
    </row>
    <row r="294" spans="4:33" x14ac:dyDescent="0.25">
      <c r="D294" s="1"/>
      <c r="E294" s="1"/>
      <c r="F294" t="s">
        <v>38</v>
      </c>
      <c r="M294" s="1"/>
      <c r="Q294" s="1"/>
      <c r="S294" s="1"/>
      <c r="T294" t="s">
        <v>52</v>
      </c>
      <c r="V294" s="1"/>
      <c r="W294" t="s">
        <v>284</v>
      </c>
      <c r="X294" t="s">
        <v>285</v>
      </c>
      <c r="Y294">
        <v>3</v>
      </c>
      <c r="Z294">
        <v>6000000</v>
      </c>
      <c r="AA294">
        <v>300000</v>
      </c>
      <c r="AB294" s="1">
        <v>43800</v>
      </c>
      <c r="AC294" t="s">
        <v>235</v>
      </c>
      <c r="AD294" t="s">
        <v>22</v>
      </c>
      <c r="AE294" t="s">
        <v>40</v>
      </c>
      <c r="AF294" t="s">
        <v>236</v>
      </c>
      <c r="AG294" t="s">
        <v>237</v>
      </c>
    </row>
    <row r="295" spans="4:33" x14ac:dyDescent="0.25">
      <c r="D295" s="1"/>
      <c r="E295" s="1"/>
      <c r="F295" t="s">
        <v>38</v>
      </c>
      <c r="M295" s="1"/>
      <c r="Q295" s="1"/>
      <c r="S295" s="1"/>
      <c r="T295" t="s">
        <v>39</v>
      </c>
      <c r="V295" s="1"/>
      <c r="W295" t="s">
        <v>286</v>
      </c>
      <c r="X295" t="s">
        <v>287</v>
      </c>
      <c r="Y295">
        <v>10</v>
      </c>
      <c r="Z295">
        <v>600000</v>
      </c>
      <c r="AA295">
        <v>100000</v>
      </c>
      <c r="AB295" s="1">
        <v>43799</v>
      </c>
      <c r="AC295" t="s">
        <v>235</v>
      </c>
      <c r="AD295" t="s">
        <v>22</v>
      </c>
      <c r="AE295" t="s">
        <v>185</v>
      </c>
      <c r="AF295" t="s">
        <v>236</v>
      </c>
      <c r="AG295" t="s">
        <v>237</v>
      </c>
    </row>
    <row r="296" spans="4:33" x14ac:dyDescent="0.25">
      <c r="D296" s="1"/>
      <c r="E296" s="1"/>
      <c r="F296" t="s">
        <v>38</v>
      </c>
      <c r="M296" s="1"/>
      <c r="Q296" s="1"/>
      <c r="S296" s="1"/>
      <c r="T296" t="s">
        <v>39</v>
      </c>
      <c r="V296" s="1"/>
      <c r="W296" t="s">
        <v>288</v>
      </c>
      <c r="X296" t="s">
        <v>289</v>
      </c>
      <c r="Y296">
        <v>10</v>
      </c>
      <c r="Z296">
        <v>210000</v>
      </c>
      <c r="AA296">
        <v>35000</v>
      </c>
      <c r="AB296" s="1">
        <v>43799</v>
      </c>
      <c r="AC296" t="s">
        <v>235</v>
      </c>
      <c r="AD296" t="s">
        <v>22</v>
      </c>
      <c r="AE296" t="s">
        <v>185</v>
      </c>
      <c r="AF296" t="s">
        <v>236</v>
      </c>
      <c r="AG296" t="s">
        <v>240</v>
      </c>
    </row>
    <row r="297" spans="4:33" x14ac:dyDescent="0.25">
      <c r="D297" s="1"/>
      <c r="E297" s="1"/>
      <c r="F297" t="s">
        <v>35</v>
      </c>
      <c r="M297" s="1"/>
      <c r="Q297" s="1"/>
      <c r="S297" s="1"/>
      <c r="T297" t="s">
        <v>39</v>
      </c>
      <c r="V297" s="1"/>
      <c r="W297" t="s">
        <v>290</v>
      </c>
      <c r="X297" t="s">
        <v>291</v>
      </c>
      <c r="Y297">
        <v>10</v>
      </c>
      <c r="Z297">
        <v>300000</v>
      </c>
      <c r="AA297">
        <v>49500</v>
      </c>
      <c r="AB297" s="1">
        <v>43738</v>
      </c>
      <c r="AC297" t="s">
        <v>279</v>
      </c>
      <c r="AD297" t="s">
        <v>22</v>
      </c>
      <c r="AE297" t="s">
        <v>35</v>
      </c>
      <c r="AF297" t="s">
        <v>252</v>
      </c>
      <c r="AG297" t="s">
        <v>253</v>
      </c>
    </row>
    <row r="298" spans="4:33" x14ac:dyDescent="0.25">
      <c r="D298" s="1"/>
      <c r="E298" s="1"/>
      <c r="F298" t="s">
        <v>35</v>
      </c>
      <c r="M298" s="1"/>
      <c r="Q298" s="1"/>
      <c r="S298" s="1"/>
      <c r="T298" t="s">
        <v>39</v>
      </c>
      <c r="V298" s="1"/>
      <c r="W298" t="s">
        <v>292</v>
      </c>
      <c r="X298" t="s">
        <v>293</v>
      </c>
      <c r="Y298">
        <v>10</v>
      </c>
      <c r="Z298">
        <v>300000</v>
      </c>
      <c r="AA298">
        <v>49500</v>
      </c>
      <c r="AB298" s="1">
        <v>43738</v>
      </c>
      <c r="AC298" t="s">
        <v>279</v>
      </c>
      <c r="AD298" t="s">
        <v>22</v>
      </c>
      <c r="AE298" t="s">
        <v>35</v>
      </c>
      <c r="AF298" t="s">
        <v>252</v>
      </c>
      <c r="AG298" t="s">
        <v>294</v>
      </c>
    </row>
    <row r="299" spans="4:33" x14ac:dyDescent="0.25">
      <c r="D299" s="1"/>
      <c r="E299" s="1"/>
      <c r="F299" t="s">
        <v>38</v>
      </c>
      <c r="M299" s="1"/>
      <c r="Q299" s="1"/>
      <c r="S299" s="1"/>
      <c r="T299" t="s">
        <v>39</v>
      </c>
      <c r="V299" s="1"/>
      <c r="W299" t="s">
        <v>295</v>
      </c>
      <c r="X299" t="s">
        <v>296</v>
      </c>
      <c r="Y299">
        <v>10</v>
      </c>
      <c r="Z299">
        <v>5000000</v>
      </c>
      <c r="AA299">
        <v>250000</v>
      </c>
      <c r="AB299" s="1">
        <v>43799</v>
      </c>
      <c r="AC299" t="s">
        <v>235</v>
      </c>
      <c r="AD299" t="s">
        <v>22</v>
      </c>
      <c r="AE299" t="s">
        <v>40</v>
      </c>
      <c r="AF299" t="s">
        <v>236</v>
      </c>
      <c r="AG299" t="s">
        <v>237</v>
      </c>
    </row>
    <row r="300" spans="4:33" x14ac:dyDescent="0.25">
      <c r="D300" s="1"/>
      <c r="E300" s="1"/>
      <c r="F300" t="s">
        <v>20</v>
      </c>
      <c r="M300" s="1"/>
      <c r="Q300" s="1"/>
      <c r="S300" s="1"/>
      <c r="T300" t="s">
        <v>52</v>
      </c>
      <c r="V300" s="1"/>
      <c r="W300" t="s">
        <v>20</v>
      </c>
      <c r="X300" t="s">
        <v>297</v>
      </c>
      <c r="Y300">
        <v>3</v>
      </c>
      <c r="Z300">
        <v>0</v>
      </c>
      <c r="AA300">
        <v>100000</v>
      </c>
      <c r="AB300" s="1">
        <v>43769</v>
      </c>
      <c r="AC300" t="s">
        <v>279</v>
      </c>
      <c r="AD300" t="s">
        <v>22</v>
      </c>
      <c r="AE300" t="s">
        <v>20</v>
      </c>
      <c r="AF300" t="s">
        <v>298</v>
      </c>
      <c r="AG300" t="s">
        <v>299</v>
      </c>
    </row>
    <row r="301" spans="4:33" x14ac:dyDescent="0.25">
      <c r="D301" s="1"/>
      <c r="E301" s="1"/>
      <c r="F301" t="s">
        <v>32</v>
      </c>
      <c r="M301" s="1"/>
      <c r="Q301" s="1"/>
      <c r="S301" s="1"/>
      <c r="T301" t="s">
        <v>59</v>
      </c>
      <c r="V301" s="1"/>
      <c r="W301" t="s">
        <v>300</v>
      </c>
      <c r="X301" t="s">
        <v>301</v>
      </c>
      <c r="Y301">
        <v>12</v>
      </c>
      <c r="Z301">
        <v>90000000</v>
      </c>
      <c r="AA301">
        <v>200000</v>
      </c>
      <c r="AB301" s="1">
        <v>44074</v>
      </c>
      <c r="AC301" t="s">
        <v>235</v>
      </c>
      <c r="AD301" t="s">
        <v>22</v>
      </c>
      <c r="AE301" t="s">
        <v>45</v>
      </c>
      <c r="AF301" t="s">
        <v>302</v>
      </c>
      <c r="AG301" t="s">
        <v>303</v>
      </c>
    </row>
    <row r="302" spans="4:33" x14ac:dyDescent="0.25">
      <c r="D302" s="1"/>
      <c r="E302" s="1"/>
      <c r="F302" t="s">
        <v>20</v>
      </c>
      <c r="M302" s="1"/>
      <c r="Q302" s="1"/>
      <c r="S302" s="1"/>
      <c r="T302" t="s">
        <v>52</v>
      </c>
      <c r="V302" s="1"/>
      <c r="W302" t="s">
        <v>304</v>
      </c>
      <c r="X302" t="s">
        <v>305</v>
      </c>
      <c r="Y302">
        <v>3</v>
      </c>
      <c r="Z302">
        <v>0</v>
      </c>
      <c r="AA302">
        <v>10000</v>
      </c>
      <c r="AB302" s="1">
        <v>43738</v>
      </c>
      <c r="AC302" t="s">
        <v>306</v>
      </c>
      <c r="AD302" t="s">
        <v>22</v>
      </c>
      <c r="AE302" t="s">
        <v>20</v>
      </c>
      <c r="AF302" t="s">
        <v>298</v>
      </c>
      <c r="AG302" t="s">
        <v>298</v>
      </c>
    </row>
    <row r="303" spans="4:33" x14ac:dyDescent="0.25">
      <c r="D303" s="1"/>
      <c r="E303" s="1"/>
      <c r="F303" t="s">
        <v>32</v>
      </c>
      <c r="M303" s="1"/>
      <c r="Q303" s="1"/>
      <c r="S303" s="1"/>
      <c r="T303" t="s">
        <v>65</v>
      </c>
      <c r="V303" s="1"/>
      <c r="W303" t="s">
        <v>307</v>
      </c>
      <c r="X303" t="s">
        <v>308</v>
      </c>
      <c r="Y303">
        <v>6</v>
      </c>
      <c r="Z303">
        <v>0</v>
      </c>
      <c r="AA303">
        <v>50000</v>
      </c>
      <c r="AB303" s="1">
        <v>43921</v>
      </c>
      <c r="AC303" t="s">
        <v>235</v>
      </c>
      <c r="AD303" t="s">
        <v>22</v>
      </c>
      <c r="AE303" t="s">
        <v>45</v>
      </c>
      <c r="AF303" t="s">
        <v>302</v>
      </c>
      <c r="AG303" t="s">
        <v>309</v>
      </c>
    </row>
    <row r="304" spans="4:33" x14ac:dyDescent="0.25">
      <c r="D304" s="1"/>
      <c r="E304" s="1"/>
      <c r="F304" t="s">
        <v>98</v>
      </c>
      <c r="M304" s="1"/>
      <c r="Q304" s="1"/>
      <c r="S304" s="1"/>
      <c r="T304" t="s">
        <v>65</v>
      </c>
      <c r="V304" s="1"/>
      <c r="W304" t="s">
        <v>310</v>
      </c>
      <c r="X304" t="s">
        <v>311</v>
      </c>
      <c r="Y304">
        <v>6</v>
      </c>
      <c r="Z304">
        <v>300000</v>
      </c>
      <c r="AA304">
        <v>30000</v>
      </c>
      <c r="AB304" s="1">
        <v>43921</v>
      </c>
      <c r="AC304" t="s">
        <v>235</v>
      </c>
      <c r="AD304" t="s">
        <v>22</v>
      </c>
      <c r="AE304" t="s">
        <v>33</v>
      </c>
      <c r="AF304" t="s">
        <v>98</v>
      </c>
      <c r="AG304" t="s">
        <v>312</v>
      </c>
    </row>
    <row r="305" spans="4:33" x14ac:dyDescent="0.25">
      <c r="D305" s="1"/>
      <c r="E305" s="1"/>
      <c r="F305" t="s">
        <v>32</v>
      </c>
      <c r="M305" s="1"/>
      <c r="Q305" s="1"/>
      <c r="S305" s="1"/>
      <c r="T305" t="s">
        <v>65</v>
      </c>
      <c r="V305" s="1"/>
      <c r="W305" t="s">
        <v>313</v>
      </c>
      <c r="X305" t="s">
        <v>314</v>
      </c>
      <c r="Y305">
        <v>6</v>
      </c>
      <c r="Z305">
        <v>0</v>
      </c>
      <c r="AA305">
        <v>200000</v>
      </c>
      <c r="AB305" s="1">
        <v>43921</v>
      </c>
      <c r="AC305" t="s">
        <v>235</v>
      </c>
      <c r="AD305" t="s">
        <v>22</v>
      </c>
      <c r="AE305" t="s">
        <v>45</v>
      </c>
      <c r="AF305" t="s">
        <v>302</v>
      </c>
      <c r="AG305" t="s">
        <v>309</v>
      </c>
    </row>
    <row r="306" spans="4:33" x14ac:dyDescent="0.25">
      <c r="D306" s="1"/>
      <c r="E306" s="1"/>
      <c r="F306" t="s">
        <v>32</v>
      </c>
      <c r="M306" s="1"/>
      <c r="Q306" s="1"/>
      <c r="S306" s="1"/>
      <c r="T306" t="s">
        <v>65</v>
      </c>
      <c r="V306" s="1"/>
      <c r="W306" t="s">
        <v>315</v>
      </c>
      <c r="X306" t="s">
        <v>316</v>
      </c>
      <c r="Y306">
        <v>6</v>
      </c>
      <c r="Z306">
        <v>300000</v>
      </c>
      <c r="AA306">
        <v>50000</v>
      </c>
      <c r="AB306" s="1">
        <v>43921</v>
      </c>
      <c r="AC306" t="s">
        <v>235</v>
      </c>
      <c r="AD306" t="s">
        <v>22</v>
      </c>
      <c r="AE306" t="s">
        <v>45</v>
      </c>
      <c r="AF306" t="s">
        <v>302</v>
      </c>
      <c r="AG306" t="s">
        <v>309</v>
      </c>
    </row>
    <row r="307" spans="4:33" x14ac:dyDescent="0.25">
      <c r="D307" s="1"/>
      <c r="E307" s="1"/>
      <c r="F307" t="s">
        <v>32</v>
      </c>
      <c r="M307" s="1"/>
      <c r="Q307" s="1"/>
      <c r="S307" s="1"/>
      <c r="T307" t="s">
        <v>65</v>
      </c>
      <c r="V307" s="1"/>
      <c r="W307" t="s">
        <v>317</v>
      </c>
      <c r="X307" t="s">
        <v>318</v>
      </c>
      <c r="Y307">
        <v>6</v>
      </c>
      <c r="Z307">
        <v>1000000</v>
      </c>
      <c r="AA307">
        <v>100000</v>
      </c>
      <c r="AB307" s="1">
        <v>44043</v>
      </c>
      <c r="AC307" t="s">
        <v>235</v>
      </c>
      <c r="AD307" t="s">
        <v>22</v>
      </c>
      <c r="AE307" t="s">
        <v>45</v>
      </c>
      <c r="AF307" t="s">
        <v>302</v>
      </c>
      <c r="AG307" t="s">
        <v>309</v>
      </c>
    </row>
    <row r="308" spans="4:33" x14ac:dyDescent="0.25">
      <c r="D308" s="1"/>
      <c r="E308" s="1"/>
      <c r="F308" t="s">
        <v>32</v>
      </c>
      <c r="M308" s="1"/>
      <c r="Q308" s="1"/>
      <c r="S308" s="1"/>
      <c r="T308" t="s">
        <v>65</v>
      </c>
      <c r="V308" s="1"/>
      <c r="W308" t="s">
        <v>319</v>
      </c>
      <c r="X308" t="s">
        <v>320</v>
      </c>
      <c r="Y308">
        <v>6</v>
      </c>
      <c r="Z308">
        <v>0</v>
      </c>
      <c r="AA308">
        <v>300000</v>
      </c>
      <c r="AB308" s="1">
        <v>44012</v>
      </c>
      <c r="AC308" t="s">
        <v>235</v>
      </c>
      <c r="AD308" t="s">
        <v>22</v>
      </c>
      <c r="AE308" t="s">
        <v>45</v>
      </c>
      <c r="AF308" t="s">
        <v>302</v>
      </c>
      <c r="AG308" t="s">
        <v>309</v>
      </c>
    </row>
    <row r="309" spans="4:33" x14ac:dyDescent="0.25">
      <c r="D309" s="1"/>
      <c r="E309" s="1"/>
      <c r="F309" t="s">
        <v>32</v>
      </c>
      <c r="M309" s="1"/>
      <c r="Q309" s="1"/>
      <c r="S309" s="1"/>
      <c r="T309" t="s">
        <v>65</v>
      </c>
      <c r="V309" s="1"/>
      <c r="W309" t="s">
        <v>321</v>
      </c>
      <c r="X309" t="s">
        <v>322</v>
      </c>
      <c r="Y309">
        <v>6</v>
      </c>
      <c r="Z309">
        <v>0</v>
      </c>
      <c r="AA309">
        <v>200000</v>
      </c>
      <c r="AB309" s="1">
        <v>44012</v>
      </c>
      <c r="AC309" t="s">
        <v>235</v>
      </c>
      <c r="AD309" t="s">
        <v>22</v>
      </c>
      <c r="AE309" t="s">
        <v>45</v>
      </c>
      <c r="AF309" t="s">
        <v>302</v>
      </c>
      <c r="AG309" t="s">
        <v>309</v>
      </c>
    </row>
    <row r="310" spans="4:33" x14ac:dyDescent="0.25">
      <c r="D310" s="1"/>
      <c r="E310" s="1"/>
      <c r="F310" t="s">
        <v>32</v>
      </c>
      <c r="M310" s="1"/>
      <c r="Q310" s="1"/>
      <c r="S310" s="1"/>
      <c r="T310" t="s">
        <v>65</v>
      </c>
      <c r="V310" s="1"/>
      <c r="W310" t="s">
        <v>323</v>
      </c>
      <c r="X310" t="s">
        <v>324</v>
      </c>
      <c r="Y310">
        <v>6</v>
      </c>
      <c r="Z310">
        <v>0</v>
      </c>
      <c r="AA310">
        <v>200000</v>
      </c>
      <c r="AB310" s="1">
        <v>44012</v>
      </c>
      <c r="AC310" t="s">
        <v>235</v>
      </c>
      <c r="AD310" t="s">
        <v>22</v>
      </c>
      <c r="AE310" t="s">
        <v>45</v>
      </c>
      <c r="AF310" t="s">
        <v>302</v>
      </c>
      <c r="AG310" t="s">
        <v>309</v>
      </c>
    </row>
    <row r="311" spans="4:33" x14ac:dyDescent="0.25">
      <c r="D311" s="1"/>
      <c r="E311" s="1"/>
      <c r="F311" t="s">
        <v>32</v>
      </c>
      <c r="M311" s="1"/>
      <c r="Q311" s="1"/>
      <c r="S311" s="1"/>
      <c r="T311" t="s">
        <v>65</v>
      </c>
      <c r="V311" s="1"/>
      <c r="W311" t="s">
        <v>325</v>
      </c>
      <c r="X311" t="s">
        <v>326</v>
      </c>
      <c r="Y311">
        <v>6</v>
      </c>
      <c r="Z311">
        <v>0</v>
      </c>
      <c r="AA311">
        <v>400000</v>
      </c>
      <c r="AB311" s="1">
        <v>44012</v>
      </c>
      <c r="AC311" t="s">
        <v>235</v>
      </c>
      <c r="AD311" t="s">
        <v>22</v>
      </c>
      <c r="AE311" t="s">
        <v>45</v>
      </c>
      <c r="AF311" t="s">
        <v>302</v>
      </c>
      <c r="AG311" t="s">
        <v>309</v>
      </c>
    </row>
    <row r="312" spans="4:33" x14ac:dyDescent="0.25">
      <c r="D312" s="1"/>
      <c r="E312" s="1"/>
      <c r="F312" t="s">
        <v>330</v>
      </c>
      <c r="M312" s="1"/>
      <c r="Q312" s="1"/>
      <c r="S312" s="1"/>
      <c r="T312" t="s">
        <v>59</v>
      </c>
      <c r="V312" s="1"/>
      <c r="W312" t="s">
        <v>327</v>
      </c>
      <c r="X312" t="s">
        <v>328</v>
      </c>
      <c r="Y312">
        <v>12</v>
      </c>
      <c r="Z312">
        <v>0</v>
      </c>
      <c r="AA312">
        <v>300000</v>
      </c>
      <c r="AB312" s="1">
        <v>44012</v>
      </c>
      <c r="AC312" t="s">
        <v>235</v>
      </c>
      <c r="AD312" t="s">
        <v>22</v>
      </c>
      <c r="AE312" t="s">
        <v>329</v>
      </c>
      <c r="AF312" t="s">
        <v>331</v>
      </c>
      <c r="AG312" t="s">
        <v>332</v>
      </c>
    </row>
    <row r="313" spans="4:33" x14ac:dyDescent="0.25">
      <c r="D313" s="1"/>
      <c r="E313" s="1"/>
      <c r="F313" t="s">
        <v>98</v>
      </c>
      <c r="M313" s="1"/>
      <c r="Q313" s="1"/>
      <c r="S313" s="1"/>
      <c r="T313" t="s">
        <v>59</v>
      </c>
      <c r="V313" s="1"/>
      <c r="W313" t="s">
        <v>333</v>
      </c>
      <c r="X313" t="s">
        <v>334</v>
      </c>
      <c r="Y313">
        <v>12</v>
      </c>
      <c r="Z313">
        <v>500000</v>
      </c>
      <c r="AA313">
        <v>50000</v>
      </c>
      <c r="AB313" s="1">
        <v>43830</v>
      </c>
      <c r="AC313" t="s">
        <v>235</v>
      </c>
      <c r="AD313" t="s">
        <v>22</v>
      </c>
      <c r="AE313" t="s">
        <v>33</v>
      </c>
      <c r="AF313" t="s">
        <v>98</v>
      </c>
      <c r="AG313" t="s">
        <v>312</v>
      </c>
    </row>
    <row r="314" spans="4:33" x14ac:dyDescent="0.25">
      <c r="D314" s="1"/>
      <c r="E314" s="1"/>
      <c r="F314" t="s">
        <v>98</v>
      </c>
      <c r="M314" s="1"/>
      <c r="Q314" s="1"/>
      <c r="S314" s="1"/>
      <c r="T314" t="s">
        <v>59</v>
      </c>
      <c r="V314" s="1"/>
      <c r="W314" t="s">
        <v>335</v>
      </c>
      <c r="X314" t="s">
        <v>336</v>
      </c>
      <c r="Y314">
        <v>12</v>
      </c>
      <c r="Z314">
        <v>1000000</v>
      </c>
      <c r="AA314">
        <v>100000</v>
      </c>
      <c r="AB314" s="1">
        <v>43738</v>
      </c>
      <c r="AC314" t="s">
        <v>235</v>
      </c>
      <c r="AD314" t="s">
        <v>22</v>
      </c>
      <c r="AE314" t="s">
        <v>33</v>
      </c>
      <c r="AF314" t="s">
        <v>98</v>
      </c>
      <c r="AG314" t="s">
        <v>312</v>
      </c>
    </row>
    <row r="315" spans="4:33" x14ac:dyDescent="0.25">
      <c r="D315" s="1"/>
      <c r="E315" s="1"/>
      <c r="F315" t="s">
        <v>98</v>
      </c>
      <c r="M315" s="1"/>
      <c r="Q315" s="1"/>
      <c r="S315" s="1"/>
      <c r="T315" t="s">
        <v>39</v>
      </c>
      <c r="V315" s="1"/>
      <c r="W315" t="s">
        <v>337</v>
      </c>
      <c r="X315" t="s">
        <v>338</v>
      </c>
      <c r="Y315">
        <v>10</v>
      </c>
      <c r="Z315">
        <v>500000</v>
      </c>
      <c r="AA315">
        <v>62000</v>
      </c>
      <c r="AB315" s="1">
        <v>43738</v>
      </c>
      <c r="AC315" t="s">
        <v>235</v>
      </c>
      <c r="AD315" t="s">
        <v>22</v>
      </c>
      <c r="AE315" t="s">
        <v>33</v>
      </c>
      <c r="AF315" t="s">
        <v>98</v>
      </c>
      <c r="AG315" t="s">
        <v>312</v>
      </c>
    </row>
    <row r="316" spans="4:33" x14ac:dyDescent="0.25">
      <c r="D316" s="1"/>
      <c r="E316" s="1"/>
      <c r="F316" t="s">
        <v>98</v>
      </c>
      <c r="M316" s="1"/>
      <c r="Q316" s="1"/>
      <c r="S316" s="1"/>
      <c r="T316" t="s">
        <v>39</v>
      </c>
      <c r="V316" s="1"/>
      <c r="W316" t="s">
        <v>339</v>
      </c>
      <c r="X316" t="s">
        <v>340</v>
      </c>
      <c r="Y316">
        <v>10</v>
      </c>
      <c r="Z316">
        <v>300000</v>
      </c>
      <c r="AA316">
        <v>37500</v>
      </c>
      <c r="AB316" s="1">
        <v>43738</v>
      </c>
      <c r="AC316" t="s">
        <v>235</v>
      </c>
      <c r="AD316" t="s">
        <v>22</v>
      </c>
      <c r="AE316" t="s">
        <v>33</v>
      </c>
      <c r="AF316" t="s">
        <v>98</v>
      </c>
      <c r="AG316" t="s">
        <v>312</v>
      </c>
    </row>
    <row r="317" spans="4:33" x14ac:dyDescent="0.25">
      <c r="D317" s="1"/>
      <c r="E317" s="1"/>
      <c r="F317" t="s">
        <v>32</v>
      </c>
      <c r="M317" s="1"/>
      <c r="Q317" s="1"/>
      <c r="S317" s="1"/>
      <c r="T317" t="s">
        <v>52</v>
      </c>
      <c r="V317" s="1"/>
      <c r="W317" t="s">
        <v>341</v>
      </c>
      <c r="X317" t="s">
        <v>342</v>
      </c>
      <c r="Y317">
        <v>3</v>
      </c>
      <c r="Z317">
        <v>700000</v>
      </c>
      <c r="AA317">
        <v>100000</v>
      </c>
      <c r="AB317" s="1">
        <v>43830</v>
      </c>
      <c r="AC317" t="s">
        <v>235</v>
      </c>
      <c r="AD317" t="s">
        <v>22</v>
      </c>
      <c r="AE317" t="s">
        <v>45</v>
      </c>
      <c r="AF317" t="s">
        <v>302</v>
      </c>
      <c r="AG317" t="s">
        <v>309</v>
      </c>
    </row>
    <row r="318" spans="4:33" x14ac:dyDescent="0.25">
      <c r="D318" s="1"/>
      <c r="E318" s="1"/>
      <c r="F318" t="s">
        <v>98</v>
      </c>
      <c r="M318" s="1"/>
      <c r="Q318" s="1"/>
      <c r="S318" s="1"/>
      <c r="T318" t="s">
        <v>39</v>
      </c>
      <c r="V318" s="1"/>
      <c r="W318" t="s">
        <v>343</v>
      </c>
      <c r="X318" t="s">
        <v>344</v>
      </c>
      <c r="Y318">
        <v>10</v>
      </c>
      <c r="Z318">
        <v>800000</v>
      </c>
      <c r="AA318">
        <v>50000</v>
      </c>
      <c r="AB318" s="1">
        <v>43738</v>
      </c>
      <c r="AC318" t="s">
        <v>235</v>
      </c>
      <c r="AD318" t="s">
        <v>22</v>
      </c>
      <c r="AE318" t="s">
        <v>33</v>
      </c>
      <c r="AF318" t="s">
        <v>98</v>
      </c>
      <c r="AG318" t="s">
        <v>312</v>
      </c>
    </row>
    <row r="319" spans="4:33" x14ac:dyDescent="0.25">
      <c r="D319" s="1"/>
      <c r="E319" s="1"/>
      <c r="F319" t="s">
        <v>32</v>
      </c>
      <c r="M319" s="1"/>
      <c r="Q319" s="1"/>
      <c r="S319" s="1"/>
      <c r="T319" t="s">
        <v>52</v>
      </c>
      <c r="V319" s="1"/>
      <c r="W319" t="s">
        <v>32</v>
      </c>
      <c r="X319" t="s">
        <v>345</v>
      </c>
      <c r="Y319">
        <v>3</v>
      </c>
      <c r="Z319">
        <v>0</v>
      </c>
      <c r="AA319">
        <v>500000</v>
      </c>
      <c r="AB319" s="1">
        <v>43739</v>
      </c>
      <c r="AC319" t="s">
        <v>279</v>
      </c>
      <c r="AD319" t="s">
        <v>22</v>
      </c>
      <c r="AE319" t="s">
        <v>45</v>
      </c>
      <c r="AF319" t="s">
        <v>302</v>
      </c>
      <c r="AG319" t="s">
        <v>309</v>
      </c>
    </row>
    <row r="320" spans="4:33" x14ac:dyDescent="0.25">
      <c r="D320" s="1"/>
      <c r="E320" s="1"/>
      <c r="F320" t="s">
        <v>32</v>
      </c>
      <c r="M320" s="1"/>
      <c r="Q320" s="1"/>
      <c r="S320" s="1"/>
      <c r="T320" t="s">
        <v>59</v>
      </c>
      <c r="V320" s="1"/>
      <c r="W320" t="s">
        <v>346</v>
      </c>
      <c r="X320" t="s">
        <v>347</v>
      </c>
      <c r="Y320">
        <v>12</v>
      </c>
      <c r="Z320">
        <v>1000000</v>
      </c>
      <c r="AA320">
        <v>100000</v>
      </c>
      <c r="AB320" s="1">
        <v>43830</v>
      </c>
      <c r="AC320" t="s">
        <v>235</v>
      </c>
      <c r="AD320" t="s">
        <v>22</v>
      </c>
      <c r="AE320" t="s">
        <v>45</v>
      </c>
      <c r="AF320" t="s">
        <v>302</v>
      </c>
      <c r="AG320" t="s">
        <v>309</v>
      </c>
    </row>
    <row r="321" spans="4:33" x14ac:dyDescent="0.25">
      <c r="D321" s="1"/>
      <c r="E321" s="1"/>
      <c r="F321" t="s">
        <v>32</v>
      </c>
      <c r="M321" s="1"/>
      <c r="Q321" s="1"/>
      <c r="S321" s="1"/>
      <c r="T321" t="s">
        <v>52</v>
      </c>
      <c r="V321" s="1"/>
      <c r="W321" t="s">
        <v>348</v>
      </c>
      <c r="X321" t="s">
        <v>349</v>
      </c>
      <c r="Y321">
        <v>3</v>
      </c>
      <c r="Z321">
        <v>0</v>
      </c>
      <c r="AA321">
        <v>50000</v>
      </c>
      <c r="AB321" s="1">
        <v>43738</v>
      </c>
      <c r="AC321" t="s">
        <v>306</v>
      </c>
      <c r="AD321" t="s">
        <v>22</v>
      </c>
      <c r="AE321" t="s">
        <v>45</v>
      </c>
      <c r="AF321" t="s">
        <v>302</v>
      </c>
      <c r="AG321" t="s">
        <v>309</v>
      </c>
    </row>
    <row r="322" spans="4:33" x14ac:dyDescent="0.25">
      <c r="D322" s="1"/>
      <c r="E322" s="1"/>
      <c r="F322" t="s">
        <v>35</v>
      </c>
      <c r="M322" s="1"/>
      <c r="Q322" s="1"/>
      <c r="S322" s="1"/>
      <c r="T322" t="s">
        <v>59</v>
      </c>
      <c r="V322" s="1"/>
      <c r="W322" t="s">
        <v>350</v>
      </c>
      <c r="X322" t="s">
        <v>351</v>
      </c>
      <c r="Y322">
        <v>12</v>
      </c>
      <c r="Z322">
        <v>0</v>
      </c>
      <c r="AA322">
        <v>50000</v>
      </c>
      <c r="AB322" s="1">
        <v>43921</v>
      </c>
      <c r="AC322" t="s">
        <v>235</v>
      </c>
      <c r="AD322" t="s">
        <v>22</v>
      </c>
      <c r="AE322" t="s">
        <v>35</v>
      </c>
      <c r="AF322" t="s">
        <v>252</v>
      </c>
      <c r="AG322" t="s">
        <v>352</v>
      </c>
    </row>
  </sheetData>
  <phoneticPr fontId="3"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CD07D-F07A-4172-B501-1126E5631F0D}">
  <dimension ref="A2:J22"/>
  <sheetViews>
    <sheetView topLeftCell="A2" workbookViewId="0">
      <selection activeCell="E9" sqref="E9"/>
    </sheetView>
  </sheetViews>
  <sheetFormatPr defaultRowHeight="15" x14ac:dyDescent="0.25"/>
  <cols>
    <col min="1" max="1" width="13.140625" bestFit="1" customWidth="1"/>
    <col min="2" max="2" width="14.85546875" bestFit="1" customWidth="1"/>
    <col min="3" max="3" width="14.85546875" customWidth="1"/>
    <col min="4" max="4" width="9.7109375" customWidth="1"/>
    <col min="5" max="5" width="18.7109375" bestFit="1" customWidth="1"/>
    <col min="6" max="6" width="23" bestFit="1" customWidth="1"/>
    <col min="7" max="7" width="22.42578125" bestFit="1" customWidth="1"/>
    <col min="9" max="9" width="28" customWidth="1"/>
    <col min="10" max="10" width="27.7109375" customWidth="1"/>
  </cols>
  <sheetData>
    <row r="2" spans="1:10" x14ac:dyDescent="0.25">
      <c r="A2" s="34" t="s">
        <v>407</v>
      </c>
      <c r="B2" s="35"/>
      <c r="E2" s="36" t="s">
        <v>408</v>
      </c>
      <c r="F2" s="36"/>
    </row>
    <row r="3" spans="1:10" x14ac:dyDescent="0.25">
      <c r="A3" s="18" t="s">
        <v>371</v>
      </c>
      <c r="B3" s="10" t="s">
        <v>392</v>
      </c>
      <c r="E3" s="11" t="s">
        <v>54</v>
      </c>
      <c r="F3" s="12">
        <f>GETPIVOTDATA("Amount",$A$18,"income_class","Cross Sell")+GETPIVOTDATA("Amount",$A$11,"income_class","Cross Sell")</f>
        <v>13041253.300000001</v>
      </c>
    </row>
    <row r="4" spans="1:10" x14ac:dyDescent="0.25">
      <c r="A4" s="11" t="s">
        <v>54</v>
      </c>
      <c r="B4" s="10">
        <v>2853842</v>
      </c>
      <c r="E4" s="11" t="s">
        <v>28</v>
      </c>
      <c r="F4" s="10">
        <f>GETPIVOTDATA("Amount",$A$18,"income_class","new")+GETPIVOTDATA("Amount",$A$11,"income_class","New")</f>
        <v>3531629.3099999991</v>
      </c>
    </row>
    <row r="5" spans="1:10" x14ac:dyDescent="0.25">
      <c r="A5" s="11" t="s">
        <v>28</v>
      </c>
      <c r="B5" s="10">
        <v>569815</v>
      </c>
      <c r="E5" s="11" t="s">
        <v>23</v>
      </c>
      <c r="F5" s="10">
        <f>GETPIVOTDATA("Amount",$A$18,"income_class","renewal")+GETPIVOTDATA("Amount",$A$11,"income_class","Renewal")</f>
        <v>18507270.640000012</v>
      </c>
    </row>
    <row r="6" spans="1:10" x14ac:dyDescent="0.25">
      <c r="A6" s="11" t="s">
        <v>23</v>
      </c>
      <c r="B6" s="10">
        <v>8244310</v>
      </c>
      <c r="I6" s="37" t="s">
        <v>409</v>
      </c>
      <c r="J6" s="37"/>
    </row>
    <row r="7" spans="1:10" x14ac:dyDescent="0.25">
      <c r="A7" s="11" t="s">
        <v>372</v>
      </c>
      <c r="B7" s="10">
        <v>594739</v>
      </c>
    </row>
    <row r="8" spans="1:10" x14ac:dyDescent="0.25">
      <c r="A8" s="11" t="s">
        <v>373</v>
      </c>
      <c r="B8" s="10">
        <v>12262706</v>
      </c>
      <c r="I8" s="8" t="s">
        <v>401</v>
      </c>
      <c r="J8" s="8" t="s">
        <v>402</v>
      </c>
    </row>
    <row r="9" spans="1:10" x14ac:dyDescent="0.25">
      <c r="I9" s="9">
        <f>F3/GETPIVOTDATA("Sum of Cross sell bugdet",$E$19)</f>
        <v>0.64936419960035074</v>
      </c>
      <c r="J9" s="9">
        <f>GETPIVOTDATA("Amount",$A$3,"income_class","Cross Sell")/GETPIVOTDATA("Sum of Cross sell bugdet",$E$19)</f>
        <v>0.14210158973876108</v>
      </c>
    </row>
    <row r="10" spans="1:10" x14ac:dyDescent="0.25">
      <c r="A10" s="34" t="s">
        <v>410</v>
      </c>
      <c r="B10" s="35"/>
    </row>
    <row r="11" spans="1:10" x14ac:dyDescent="0.25">
      <c r="A11" s="18" t="s">
        <v>371</v>
      </c>
      <c r="B11" s="10" t="s">
        <v>392</v>
      </c>
      <c r="I11" s="8" t="s">
        <v>403</v>
      </c>
      <c r="J11" s="8" t="s">
        <v>404</v>
      </c>
    </row>
    <row r="12" spans="1:10" x14ac:dyDescent="0.25">
      <c r="A12" s="11" t="s">
        <v>54</v>
      </c>
      <c r="B12" s="10">
        <v>396480</v>
      </c>
      <c r="I12" s="9">
        <f>F4/GETPIVOTDATA("Sum of New Budget",$E$19)</f>
        <v>0.17950932542596129</v>
      </c>
      <c r="J12" s="9">
        <f>GETPIVOTDATA("Amount",$A$3,"income_class","New")/GETPIVOTDATA("Sum of New Budget",$E$19)</f>
        <v>2.8963149098905329E-2</v>
      </c>
    </row>
    <row r="13" spans="1:10" x14ac:dyDescent="0.25">
      <c r="A13" s="11" t="s">
        <v>28</v>
      </c>
      <c r="B13" s="10">
        <v>100000</v>
      </c>
    </row>
    <row r="14" spans="1:10" x14ac:dyDescent="0.25">
      <c r="A14" s="11" t="s">
        <v>23</v>
      </c>
      <c r="B14" s="10">
        <v>18051</v>
      </c>
      <c r="I14" s="8" t="s">
        <v>405</v>
      </c>
      <c r="J14" s="8" t="s">
        <v>406</v>
      </c>
    </row>
    <row r="15" spans="1:10" x14ac:dyDescent="0.25">
      <c r="A15" s="11" t="s">
        <v>373</v>
      </c>
      <c r="B15" s="10">
        <v>514531</v>
      </c>
      <c r="E15" s="2" t="s">
        <v>209</v>
      </c>
      <c r="F15" t="s">
        <v>411</v>
      </c>
      <c r="I15" s="9">
        <f>(F5/GETPIVOTDATA("Sum of Renewal Budget",$E$19))</f>
        <v>1.5022799823531163</v>
      </c>
      <c r="J15" s="9">
        <f>GETPIVOTDATA("Amount",$A$3,"income_class","Renewal")/GETPIVOTDATA("Sum of Renewal Budget",$E$19)</f>
        <v>0.66921061037196861</v>
      </c>
    </row>
    <row r="16" spans="1:10" x14ac:dyDescent="0.25">
      <c r="E16" s="2" t="s">
        <v>211</v>
      </c>
      <c r="F16" t="s">
        <v>411</v>
      </c>
    </row>
    <row r="17" spans="1:7" x14ac:dyDescent="0.25">
      <c r="A17" s="34" t="s">
        <v>412</v>
      </c>
      <c r="B17" s="34"/>
      <c r="E17" s="2" t="s">
        <v>210</v>
      </c>
      <c r="F17" t="s">
        <v>411</v>
      </c>
    </row>
    <row r="18" spans="1:7" x14ac:dyDescent="0.25">
      <c r="A18" s="17" t="s">
        <v>371</v>
      </c>
      <c r="B18" s="13" t="s">
        <v>392</v>
      </c>
      <c r="E18" s="31" t="s">
        <v>413</v>
      </c>
      <c r="F18" s="32"/>
      <c r="G18" s="33"/>
    </row>
    <row r="19" spans="1:7" x14ac:dyDescent="0.25">
      <c r="A19" s="14" t="s">
        <v>54</v>
      </c>
      <c r="B19" s="15">
        <v>12644773.300000001</v>
      </c>
      <c r="E19" s="18" t="s">
        <v>414</v>
      </c>
      <c r="F19" s="10" t="s">
        <v>415</v>
      </c>
      <c r="G19" s="10" t="s">
        <v>416</v>
      </c>
    </row>
    <row r="20" spans="1:7" x14ac:dyDescent="0.25">
      <c r="A20" s="14" t="s">
        <v>28</v>
      </c>
      <c r="B20" s="15">
        <v>3431629.3099999991</v>
      </c>
      <c r="E20" s="10">
        <v>19673793</v>
      </c>
      <c r="F20" s="10">
        <v>20083111</v>
      </c>
      <c r="G20" s="10">
        <v>12319455</v>
      </c>
    </row>
    <row r="21" spans="1:7" x14ac:dyDescent="0.25">
      <c r="A21" s="16" t="s">
        <v>23</v>
      </c>
      <c r="B21" s="15">
        <v>18489219.640000012</v>
      </c>
    </row>
    <row r="22" spans="1:7" x14ac:dyDescent="0.25">
      <c r="A22" s="16" t="s">
        <v>373</v>
      </c>
      <c r="B22" s="13">
        <v>34565622.250000015</v>
      </c>
    </row>
  </sheetData>
  <mergeCells count="6">
    <mergeCell ref="E18:G18"/>
    <mergeCell ref="A2:B2"/>
    <mergeCell ref="E2:F2"/>
    <mergeCell ref="I6:J6"/>
    <mergeCell ref="A10:B10"/>
    <mergeCell ref="A17:B17"/>
  </mergeCell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iconSet" priority="3" id="{64229E8B-74BF-4835-952B-CD18F5E7FC77}">
            <x14:iconSet iconSet="3Triangles" custom="1">
              <x14:cfvo type="percent">
                <xm:f>0</xm:f>
              </x14:cfvo>
              <x14:cfvo type="percent" gte="0">
                <xm:f>33</xm:f>
              </x14:cfvo>
              <x14:cfvo type="percent">
                <xm:f>60</xm:f>
              </x14:cfvo>
              <x14:cfIcon iconSet="3Triangles" iconId="0"/>
              <x14:cfIcon iconSet="3Triangles" iconId="0"/>
              <x14:cfIcon iconSet="3Triangles" iconId="2"/>
            </x14:iconSet>
          </x14:cfRule>
          <xm:sqref>I9</xm:sqref>
        </x14:conditionalFormatting>
        <x14:conditionalFormatting xmlns:xm="http://schemas.microsoft.com/office/excel/2006/main">
          <x14:cfRule type="iconSet" priority="1" id="{B87D259B-20C2-4660-8838-7E92C495C723}">
            <x14:iconSet iconSet="3Triangles" custom="1">
              <x14:cfvo type="percent">
                <xm:f>0</xm:f>
              </x14:cfvo>
              <x14:cfvo type="percent">
                <xm:f>33</xm:f>
              </x14:cfvo>
              <x14:cfvo type="percent">
                <xm:f>100</xm:f>
              </x14:cfvo>
              <x14:cfIcon iconSet="3Triangles" iconId="0"/>
              <x14:cfIcon iconSet="3Triangles" iconId="0"/>
              <x14:cfIcon iconSet="3Triangles" iconId="2"/>
            </x14:iconSet>
          </x14:cfRule>
          <xm:sqref>I12:J12 I15:J15</xm:sqref>
        </x14:conditionalFormatting>
        <x14:conditionalFormatting xmlns:xm="http://schemas.microsoft.com/office/excel/2006/main">
          <x14:cfRule type="iconSet" priority="2" id="{C0B14D77-EBDB-477D-BFCB-50CFAD7CEA7D}">
            <x14:iconSet iconSet="3Triangles" custom="1">
              <x14:cfvo type="percent">
                <xm:f>0</xm:f>
              </x14:cfvo>
              <x14:cfvo type="percent">
                <xm:f>33</xm:f>
              </x14:cfvo>
              <x14:cfvo type="percent" gte="0">
                <xm:f>100</xm:f>
              </x14:cfvo>
              <x14:cfIcon iconSet="3Triangles" iconId="0"/>
              <x14:cfIcon iconSet="3Triangles" iconId="0"/>
              <x14:cfIcon iconSet="3Triangles" iconId="2"/>
            </x14:iconSet>
          </x14:cfRule>
          <xm:sqref>J9</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AABEFD-9B7D-4847-BCC1-F9714FC6CDB4}">
  <dimension ref="B4:G17"/>
  <sheetViews>
    <sheetView topLeftCell="A3" workbookViewId="0">
      <selection activeCell="B4" sqref="B4"/>
    </sheetView>
  </sheetViews>
  <sheetFormatPr defaultRowHeight="15" x14ac:dyDescent="0.25"/>
  <cols>
    <col min="2" max="2" width="20.7109375" bestFit="1" customWidth="1"/>
    <col min="3" max="3" width="16.28515625" bestFit="1" customWidth="1"/>
    <col min="4" max="4" width="5.140625" bestFit="1" customWidth="1"/>
    <col min="5" max="5" width="8.7109375" bestFit="1" customWidth="1"/>
    <col min="6" max="6" width="7.28515625" bestFit="1" customWidth="1"/>
    <col min="7" max="7" width="11.28515625" bestFit="1" customWidth="1"/>
  </cols>
  <sheetData>
    <row r="4" spans="2:7" x14ac:dyDescent="0.25">
      <c r="B4" s="2" t="s">
        <v>374</v>
      </c>
      <c r="C4" s="2" t="s">
        <v>387</v>
      </c>
    </row>
    <row r="5" spans="2:7" x14ac:dyDescent="0.25">
      <c r="B5" s="2" t="s">
        <v>371</v>
      </c>
      <c r="C5" t="s">
        <v>54</v>
      </c>
      <c r="D5" t="s">
        <v>28</v>
      </c>
      <c r="E5" t="s">
        <v>23</v>
      </c>
      <c r="F5" t="s">
        <v>372</v>
      </c>
      <c r="G5" t="s">
        <v>373</v>
      </c>
    </row>
    <row r="6" spans="2:7" x14ac:dyDescent="0.25">
      <c r="B6" s="3" t="s">
        <v>216</v>
      </c>
      <c r="C6" s="44"/>
      <c r="D6" s="44"/>
      <c r="E6" s="44">
        <v>58</v>
      </c>
      <c r="F6" s="44">
        <v>5</v>
      </c>
      <c r="G6" s="44">
        <v>63</v>
      </c>
    </row>
    <row r="7" spans="2:7" x14ac:dyDescent="0.25">
      <c r="B7" s="3" t="s">
        <v>218</v>
      </c>
      <c r="C7" s="44"/>
      <c r="D7" s="44"/>
      <c r="E7" s="44">
        <v>18</v>
      </c>
      <c r="F7" s="44">
        <v>18</v>
      </c>
      <c r="G7" s="44">
        <v>36</v>
      </c>
    </row>
    <row r="8" spans="2:7" x14ac:dyDescent="0.25">
      <c r="B8" s="3" t="s">
        <v>212</v>
      </c>
      <c r="C8" s="44">
        <v>12</v>
      </c>
      <c r="D8" s="44"/>
      <c r="E8" s="44">
        <v>15</v>
      </c>
      <c r="F8" s="44"/>
      <c r="G8" s="44">
        <v>27</v>
      </c>
    </row>
    <row r="9" spans="2:7" x14ac:dyDescent="0.25">
      <c r="B9" s="3" t="s">
        <v>52</v>
      </c>
      <c r="C9" s="44">
        <v>20</v>
      </c>
      <c r="D9" s="44"/>
      <c r="E9" s="44"/>
      <c r="F9" s="44"/>
      <c r="G9" s="44">
        <v>20</v>
      </c>
    </row>
    <row r="10" spans="2:7" x14ac:dyDescent="0.25">
      <c r="B10" s="3" t="s">
        <v>21</v>
      </c>
      <c r="C10" s="44">
        <v>19</v>
      </c>
      <c r="D10" s="44"/>
      <c r="E10" s="44"/>
      <c r="F10" s="44"/>
      <c r="G10" s="44">
        <v>19</v>
      </c>
    </row>
    <row r="11" spans="2:7" x14ac:dyDescent="0.25">
      <c r="B11" s="3" t="s">
        <v>221</v>
      </c>
      <c r="C11" s="44"/>
      <c r="D11" s="44">
        <v>8</v>
      </c>
      <c r="E11" s="44"/>
      <c r="F11" s="44">
        <v>4</v>
      </c>
      <c r="G11" s="44">
        <v>12</v>
      </c>
    </row>
    <row r="12" spans="2:7" x14ac:dyDescent="0.25">
      <c r="B12" s="3" t="s">
        <v>27</v>
      </c>
      <c r="C12" s="44">
        <v>10</v>
      </c>
      <c r="D12" s="44"/>
      <c r="E12" s="44"/>
      <c r="F12" s="44"/>
      <c r="G12" s="44">
        <v>10</v>
      </c>
    </row>
    <row r="13" spans="2:7" x14ac:dyDescent="0.25">
      <c r="B13" s="3" t="s">
        <v>217</v>
      </c>
      <c r="C13" s="44"/>
      <c r="D13" s="44">
        <v>7</v>
      </c>
      <c r="E13" s="44">
        <v>3</v>
      </c>
      <c r="F13" s="44"/>
      <c r="G13" s="44">
        <v>10</v>
      </c>
    </row>
    <row r="14" spans="2:7" x14ac:dyDescent="0.25">
      <c r="B14" s="3" t="s">
        <v>220</v>
      </c>
      <c r="C14" s="44"/>
      <c r="D14" s="44"/>
      <c r="E14" s="44">
        <v>3</v>
      </c>
      <c r="F14" s="44">
        <v>1</v>
      </c>
      <c r="G14" s="44">
        <v>4</v>
      </c>
    </row>
    <row r="15" spans="2:7" x14ac:dyDescent="0.25">
      <c r="B15" s="3" t="s">
        <v>39</v>
      </c>
      <c r="C15" s="44">
        <v>2</v>
      </c>
      <c r="D15" s="44"/>
      <c r="E15" s="44"/>
      <c r="F15" s="44"/>
      <c r="G15" s="44">
        <v>2</v>
      </c>
    </row>
    <row r="16" spans="2:7" x14ac:dyDescent="0.25">
      <c r="B16" s="3" t="s">
        <v>215</v>
      </c>
      <c r="C16" s="44"/>
      <c r="D16" s="44">
        <v>1</v>
      </c>
      <c r="E16" s="44"/>
      <c r="F16" s="44"/>
      <c r="G16" s="44">
        <v>1</v>
      </c>
    </row>
    <row r="17" spans="2:7" x14ac:dyDescent="0.25">
      <c r="B17" s="3" t="s">
        <v>373</v>
      </c>
      <c r="C17" s="44">
        <v>63</v>
      </c>
      <c r="D17" s="44">
        <v>16</v>
      </c>
      <c r="E17" s="44">
        <v>97</v>
      </c>
      <c r="F17" s="44">
        <v>28</v>
      </c>
      <c r="G17" s="44">
        <v>204</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198988-CFD7-4FB0-B1F2-37508CFF73E9}">
  <dimension ref="B4:C14"/>
  <sheetViews>
    <sheetView topLeftCell="A2" workbookViewId="0">
      <selection activeCell="B4" sqref="B4"/>
    </sheetView>
  </sheetViews>
  <sheetFormatPr defaultRowHeight="15" x14ac:dyDescent="0.25"/>
  <cols>
    <col min="2" max="2" width="15.28515625" bestFit="1" customWidth="1"/>
    <col min="3" max="3" width="21.85546875" bestFit="1" customWidth="1"/>
  </cols>
  <sheetData>
    <row r="4" spans="2:3" x14ac:dyDescent="0.25">
      <c r="B4" s="2" t="s">
        <v>371</v>
      </c>
      <c r="C4" t="s">
        <v>388</v>
      </c>
    </row>
    <row r="5" spans="2:3" x14ac:dyDescent="0.25">
      <c r="B5" s="3" t="s">
        <v>81</v>
      </c>
      <c r="C5" s="44">
        <v>2</v>
      </c>
    </row>
    <row r="6" spans="2:3" x14ac:dyDescent="0.25">
      <c r="B6" s="3" t="s">
        <v>39</v>
      </c>
      <c r="C6" s="44">
        <v>2</v>
      </c>
    </row>
    <row r="7" spans="2:3" x14ac:dyDescent="0.25">
      <c r="B7" s="3" t="s">
        <v>49</v>
      </c>
      <c r="C7" s="44">
        <v>3</v>
      </c>
    </row>
    <row r="8" spans="2:3" x14ac:dyDescent="0.25">
      <c r="B8" s="3" t="s">
        <v>137</v>
      </c>
      <c r="C8" s="44">
        <v>3</v>
      </c>
    </row>
    <row r="9" spans="2:3" x14ac:dyDescent="0.25">
      <c r="B9" s="3" t="s">
        <v>52</v>
      </c>
      <c r="C9" s="44">
        <v>4</v>
      </c>
    </row>
    <row r="10" spans="2:3" x14ac:dyDescent="0.25">
      <c r="B10" s="3" t="s">
        <v>65</v>
      </c>
      <c r="C10" s="44">
        <v>4</v>
      </c>
    </row>
    <row r="11" spans="2:3" x14ac:dyDescent="0.25">
      <c r="B11" s="3" t="s">
        <v>59</v>
      </c>
      <c r="C11" s="44">
        <v>4</v>
      </c>
    </row>
    <row r="12" spans="2:3" x14ac:dyDescent="0.25">
      <c r="B12" s="3" t="s">
        <v>21</v>
      </c>
      <c r="C12" s="44">
        <v>5</v>
      </c>
    </row>
    <row r="13" spans="2:3" x14ac:dyDescent="0.25">
      <c r="B13" s="3" t="s">
        <v>27</v>
      </c>
      <c r="C13" s="44">
        <v>7</v>
      </c>
    </row>
    <row r="14" spans="2:3" x14ac:dyDescent="0.25">
      <c r="B14" s="3" t="s">
        <v>373</v>
      </c>
      <c r="C14" s="44">
        <v>34</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B22742-0496-4A19-93CE-FA4B0FD4576B}">
  <dimension ref="A1:B9"/>
  <sheetViews>
    <sheetView workbookViewId="0">
      <selection activeCell="M9" sqref="M9"/>
    </sheetView>
  </sheetViews>
  <sheetFormatPr defaultRowHeight="15" x14ac:dyDescent="0.25"/>
  <cols>
    <col min="1" max="1" width="18" bestFit="1" customWidth="1"/>
    <col min="2" max="2" width="26.140625" bestFit="1" customWidth="1"/>
  </cols>
  <sheetData>
    <row r="1" spans="1:2" x14ac:dyDescent="0.25">
      <c r="A1" s="2" t="s">
        <v>371</v>
      </c>
      <c r="B1" t="s">
        <v>390</v>
      </c>
    </row>
    <row r="2" spans="1:2" x14ac:dyDescent="0.25">
      <c r="A2" s="3" t="s">
        <v>38</v>
      </c>
      <c r="B2" s="44">
        <v>15</v>
      </c>
    </row>
    <row r="3" spans="1:2" x14ac:dyDescent="0.25">
      <c r="A3" s="3" t="s">
        <v>98</v>
      </c>
      <c r="B3" s="44">
        <v>6</v>
      </c>
    </row>
    <row r="4" spans="1:2" x14ac:dyDescent="0.25">
      <c r="A4" s="3" t="s">
        <v>32</v>
      </c>
      <c r="B4" s="44">
        <v>13</v>
      </c>
    </row>
    <row r="5" spans="1:2" x14ac:dyDescent="0.25">
      <c r="A5" s="3" t="s">
        <v>35</v>
      </c>
      <c r="B5" s="44">
        <v>5</v>
      </c>
    </row>
    <row r="6" spans="1:2" x14ac:dyDescent="0.25">
      <c r="A6" s="3" t="s">
        <v>20</v>
      </c>
      <c r="B6" s="44">
        <v>7</v>
      </c>
    </row>
    <row r="7" spans="1:2" x14ac:dyDescent="0.25">
      <c r="A7" s="3" t="s">
        <v>34</v>
      </c>
      <c r="B7" s="44">
        <v>2</v>
      </c>
    </row>
    <row r="8" spans="1:2" x14ac:dyDescent="0.25">
      <c r="A8" s="3" t="s">
        <v>330</v>
      </c>
      <c r="B8" s="44">
        <v>1</v>
      </c>
    </row>
    <row r="9" spans="1:2" x14ac:dyDescent="0.25">
      <c r="A9" s="3" t="s">
        <v>373</v>
      </c>
      <c r="B9" s="44">
        <v>49</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104E1D-1CD1-41FD-91E6-F30B6B8F0823}">
  <dimension ref="A1:B6"/>
  <sheetViews>
    <sheetView workbookViewId="0">
      <selection activeCell="F3" sqref="F3"/>
    </sheetView>
  </sheetViews>
  <sheetFormatPr defaultRowHeight="15" x14ac:dyDescent="0.25"/>
  <cols>
    <col min="1" max="1" width="19" bestFit="1" customWidth="1"/>
    <col min="2" max="2" width="23.28515625" bestFit="1" customWidth="1"/>
  </cols>
  <sheetData>
    <row r="1" spans="1:2" x14ac:dyDescent="0.25">
      <c r="A1" s="2" t="s">
        <v>371</v>
      </c>
      <c r="B1" t="s">
        <v>391</v>
      </c>
    </row>
    <row r="2" spans="1:2" x14ac:dyDescent="0.25">
      <c r="A2" s="3" t="s">
        <v>32</v>
      </c>
      <c r="B2" s="44">
        <v>500000</v>
      </c>
    </row>
    <row r="3" spans="1:2" x14ac:dyDescent="0.25">
      <c r="A3" s="3" t="s">
        <v>233</v>
      </c>
      <c r="B3" s="44">
        <v>400000</v>
      </c>
    </row>
    <row r="4" spans="1:2" x14ac:dyDescent="0.25">
      <c r="A4" s="3" t="s">
        <v>325</v>
      </c>
      <c r="B4" s="44">
        <v>400000</v>
      </c>
    </row>
    <row r="5" spans="1:2" x14ac:dyDescent="0.25">
      <c r="A5" s="3" t="s">
        <v>275</v>
      </c>
      <c r="B5" s="44">
        <v>350000</v>
      </c>
    </row>
    <row r="6" spans="1:2" x14ac:dyDescent="0.25">
      <c r="A6" s="3" t="s">
        <v>373</v>
      </c>
      <c r="B6" s="44">
        <v>1650000</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2E1D7E-9104-4ECC-8338-95F8C004A0A3}">
  <dimension ref="B2:C8"/>
  <sheetViews>
    <sheetView workbookViewId="0">
      <selection activeCell="B3" sqref="B3"/>
    </sheetView>
  </sheetViews>
  <sheetFormatPr defaultRowHeight="15" x14ac:dyDescent="0.25"/>
  <cols>
    <col min="2" max="2" width="32.7109375" bestFit="1" customWidth="1"/>
    <col min="3" max="3" width="23.28515625" bestFit="1" customWidth="1"/>
    <col min="4" max="4" width="5.140625" bestFit="1" customWidth="1"/>
    <col min="5" max="5" width="7.28515625" bestFit="1" customWidth="1"/>
    <col min="6" max="6" width="11.28515625" bestFit="1" customWidth="1"/>
  </cols>
  <sheetData>
    <row r="2" spans="2:3" x14ac:dyDescent="0.25">
      <c r="B2" s="2" t="s">
        <v>371</v>
      </c>
      <c r="C2" t="s">
        <v>391</v>
      </c>
    </row>
    <row r="3" spans="2:3" x14ac:dyDescent="0.25">
      <c r="B3" s="3" t="s">
        <v>302</v>
      </c>
      <c r="C3" s="5">
        <v>2450000</v>
      </c>
    </row>
    <row r="4" spans="2:3" x14ac:dyDescent="0.25">
      <c r="B4" s="3" t="s">
        <v>98</v>
      </c>
      <c r="C4" s="5">
        <v>329500</v>
      </c>
    </row>
    <row r="5" spans="2:3" x14ac:dyDescent="0.25">
      <c r="B5" s="3" t="s">
        <v>243</v>
      </c>
      <c r="C5" s="5">
        <v>600000</v>
      </c>
    </row>
    <row r="6" spans="2:3" x14ac:dyDescent="0.25">
      <c r="B6" s="3" t="s">
        <v>236</v>
      </c>
      <c r="C6" s="5">
        <v>2315000</v>
      </c>
    </row>
    <row r="7" spans="2:3" x14ac:dyDescent="0.25">
      <c r="B7" s="3" t="s">
        <v>34</v>
      </c>
      <c r="C7" s="5">
        <v>450000</v>
      </c>
    </row>
    <row r="8" spans="2:3" x14ac:dyDescent="0.25">
      <c r="B8" s="3" t="s">
        <v>373</v>
      </c>
      <c r="C8" s="5">
        <v>6144500</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6F37DB-E561-47D0-AC97-1E653A08B8C6}">
  <dimension ref="B3:C9"/>
  <sheetViews>
    <sheetView workbookViewId="0">
      <selection activeCell="B3" sqref="B3"/>
    </sheetView>
  </sheetViews>
  <sheetFormatPr defaultRowHeight="15" x14ac:dyDescent="0.25"/>
  <cols>
    <col min="2" max="2" width="13.140625" bestFit="1" customWidth="1"/>
    <col min="3" max="3" width="21.85546875" bestFit="1" customWidth="1"/>
  </cols>
  <sheetData>
    <row r="3" spans="2:3" x14ac:dyDescent="0.25">
      <c r="B3" s="2" t="s">
        <v>371</v>
      </c>
      <c r="C3" t="s">
        <v>388</v>
      </c>
    </row>
    <row r="4" spans="2:3" x14ac:dyDescent="0.25">
      <c r="B4" s="3" t="s">
        <v>393</v>
      </c>
      <c r="C4" s="44">
        <v>3</v>
      </c>
    </row>
    <row r="5" spans="2:3" x14ac:dyDescent="0.25">
      <c r="B5" s="4" t="s">
        <v>395</v>
      </c>
      <c r="C5" s="44">
        <v>2</v>
      </c>
    </row>
    <row r="6" spans="2:3" x14ac:dyDescent="0.25">
      <c r="B6" s="4" t="s">
        <v>396</v>
      </c>
      <c r="C6" s="44">
        <v>1</v>
      </c>
    </row>
    <row r="7" spans="2:3" x14ac:dyDescent="0.25">
      <c r="B7" s="3" t="s">
        <v>394</v>
      </c>
      <c r="C7" s="44">
        <v>31</v>
      </c>
    </row>
    <row r="8" spans="2:3" x14ac:dyDescent="0.25">
      <c r="B8" s="4" t="s">
        <v>397</v>
      </c>
      <c r="C8" s="44">
        <v>31</v>
      </c>
    </row>
    <row r="9" spans="2:3" x14ac:dyDescent="0.25">
      <c r="B9" s="3" t="s">
        <v>373</v>
      </c>
      <c r="C9" s="44">
        <v>34</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8C899D-C58D-419F-9873-F7425DD7CBB8}">
  <dimension ref="B3:C8"/>
  <sheetViews>
    <sheetView workbookViewId="0">
      <selection activeCell="B3" sqref="B3"/>
    </sheetView>
  </sheetViews>
  <sheetFormatPr defaultRowHeight="15" x14ac:dyDescent="0.25"/>
  <cols>
    <col min="2" max="2" width="19" bestFit="1" customWidth="1"/>
    <col min="3" max="3" width="23.28515625" bestFit="1" customWidth="1"/>
  </cols>
  <sheetData>
    <row r="3" spans="2:3" x14ac:dyDescent="0.25">
      <c r="B3" s="2" t="s">
        <v>371</v>
      </c>
      <c r="C3" t="s">
        <v>391</v>
      </c>
    </row>
    <row r="4" spans="2:3" x14ac:dyDescent="0.25">
      <c r="B4" s="3" t="s">
        <v>372</v>
      </c>
      <c r="C4" s="44"/>
    </row>
    <row r="5" spans="2:3" x14ac:dyDescent="0.25">
      <c r="B5" s="3" t="s">
        <v>306</v>
      </c>
      <c r="C5" s="44">
        <v>60000</v>
      </c>
    </row>
    <row r="6" spans="2:3" x14ac:dyDescent="0.25">
      <c r="B6" s="3" t="s">
        <v>279</v>
      </c>
      <c r="C6" s="44">
        <v>899000</v>
      </c>
    </row>
    <row r="7" spans="2:3" x14ac:dyDescent="0.25">
      <c r="B7" s="3" t="s">
        <v>235</v>
      </c>
      <c r="C7" s="44">
        <v>5919500</v>
      </c>
    </row>
    <row r="8" spans="2:3" x14ac:dyDescent="0.25">
      <c r="B8" s="3" t="s">
        <v>373</v>
      </c>
      <c r="C8" s="44">
        <v>6878500</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4E1244-9EC8-447E-A312-FBDE07A96961}">
  <dimension ref="A1"/>
  <sheetViews>
    <sheetView workbookViewId="0">
      <selection activeCell="L3" sqref="L3"/>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BD761B-4BDC-4857-AEC5-C1C24BD40714}">
  <dimension ref="A18:N44"/>
  <sheetViews>
    <sheetView showGridLines="0" tabSelected="1" zoomScale="50" zoomScaleNormal="50" workbookViewId="0">
      <selection activeCell="N33" sqref="N33:N37"/>
    </sheetView>
  </sheetViews>
  <sheetFormatPr defaultRowHeight="15" x14ac:dyDescent="0.25"/>
  <cols>
    <col min="1" max="1" width="40.42578125" customWidth="1"/>
    <col min="2" max="2" width="34.140625" customWidth="1"/>
    <col min="9" max="9" width="23.7109375" customWidth="1"/>
    <col min="10" max="10" width="21.5703125" customWidth="1"/>
    <col min="11" max="11" width="18.42578125" bestFit="1" customWidth="1"/>
    <col min="12" max="12" width="33" customWidth="1"/>
    <col min="13" max="13" width="26.5703125" customWidth="1"/>
    <col min="14" max="14" width="28.28515625" customWidth="1"/>
    <col min="17" max="17" width="15.85546875" customWidth="1"/>
  </cols>
  <sheetData>
    <row r="18" spans="1:14" ht="26.25" x14ac:dyDescent="0.4">
      <c r="I18" s="42" t="s">
        <v>54</v>
      </c>
      <c r="J18" s="43"/>
    </row>
    <row r="19" spans="1:14" ht="26.25" x14ac:dyDescent="0.4">
      <c r="I19" s="6" t="s">
        <v>398</v>
      </c>
      <c r="J19" s="25" t="s">
        <v>419</v>
      </c>
    </row>
    <row r="20" spans="1:14" ht="26.25" x14ac:dyDescent="0.4">
      <c r="I20" s="6" t="s">
        <v>399</v>
      </c>
      <c r="J20" s="25" t="s">
        <v>418</v>
      </c>
    </row>
    <row r="21" spans="1:14" ht="26.25" x14ac:dyDescent="0.4">
      <c r="I21" s="24" t="s">
        <v>400</v>
      </c>
      <c r="J21" s="26" t="s">
        <v>417</v>
      </c>
    </row>
    <row r="23" spans="1:14" ht="26.25" x14ac:dyDescent="0.4">
      <c r="I23" s="42" t="s">
        <v>28</v>
      </c>
      <c r="J23" s="43"/>
    </row>
    <row r="24" spans="1:14" ht="26.25" x14ac:dyDescent="0.4">
      <c r="I24" s="6" t="s">
        <v>398</v>
      </c>
      <c r="J24" s="7">
        <v>569815</v>
      </c>
    </row>
    <row r="25" spans="1:14" ht="26.25" x14ac:dyDescent="0.4">
      <c r="I25" s="6" t="s">
        <v>399</v>
      </c>
      <c r="J25" s="7">
        <v>3531629.31</v>
      </c>
    </row>
    <row r="26" spans="1:14" ht="26.25" x14ac:dyDescent="0.4">
      <c r="I26" s="6" t="s">
        <v>400</v>
      </c>
      <c r="J26" s="7">
        <v>19673793</v>
      </c>
    </row>
    <row r="28" spans="1:14" ht="26.25" x14ac:dyDescent="0.4">
      <c r="I28" s="42" t="s">
        <v>23</v>
      </c>
      <c r="J28" s="43"/>
    </row>
    <row r="29" spans="1:14" ht="26.25" x14ac:dyDescent="0.4">
      <c r="I29" s="6" t="s">
        <v>398</v>
      </c>
      <c r="J29" s="7">
        <v>8244310</v>
      </c>
    </row>
    <row r="30" spans="1:14" ht="26.25" x14ac:dyDescent="0.4">
      <c r="I30" s="6" t="s">
        <v>399</v>
      </c>
      <c r="J30" s="7">
        <v>18507270.640000001</v>
      </c>
    </row>
    <row r="31" spans="1:14" ht="26.25" x14ac:dyDescent="0.4">
      <c r="I31" s="6" t="s">
        <v>400</v>
      </c>
      <c r="J31" s="7">
        <v>12319455</v>
      </c>
    </row>
    <row r="32" spans="1:14" ht="24" customHeight="1" x14ac:dyDescent="0.25">
      <c r="A32" s="21" t="s">
        <v>401</v>
      </c>
      <c r="B32" s="21" t="s">
        <v>402</v>
      </c>
      <c r="N32" s="30" t="s">
        <v>421</v>
      </c>
    </row>
    <row r="33" spans="1:14" ht="23.25" customHeight="1" x14ac:dyDescent="0.35">
      <c r="A33" s="19">
        <f>64.94%</f>
        <v>0.64939999999999998</v>
      </c>
      <c r="B33" s="19">
        <v>0.1421</v>
      </c>
      <c r="N33" s="40">
        <v>49</v>
      </c>
    </row>
    <row r="34" spans="1:14" ht="15" customHeight="1" x14ac:dyDescent="0.25">
      <c r="N34" s="41"/>
    </row>
    <row r="35" spans="1:14" ht="21" x14ac:dyDescent="0.35">
      <c r="A35" s="20" t="s">
        <v>403</v>
      </c>
      <c r="B35" s="20" t="s">
        <v>404</v>
      </c>
      <c r="N35" s="41"/>
    </row>
    <row r="36" spans="1:14" ht="21" x14ac:dyDescent="0.35">
      <c r="A36" s="19">
        <v>0.17949999999999999</v>
      </c>
      <c r="B36" s="19">
        <v>2.9000000000000001E-2</v>
      </c>
      <c r="N36" s="41"/>
    </row>
    <row r="37" spans="1:14" x14ac:dyDescent="0.25">
      <c r="N37" s="41"/>
    </row>
    <row r="38" spans="1:14" ht="21" x14ac:dyDescent="0.25">
      <c r="A38" s="23" t="s">
        <v>405</v>
      </c>
      <c r="B38" s="23" t="s">
        <v>406</v>
      </c>
    </row>
    <row r="39" spans="1:14" ht="27" customHeight="1" x14ac:dyDescent="0.25">
      <c r="A39" s="22">
        <v>1.5021</v>
      </c>
      <c r="B39" s="22">
        <v>0.66920000000000002</v>
      </c>
    </row>
    <row r="40" spans="1:14" s="28" customFormat="1" ht="36.75" customHeight="1" x14ac:dyDescent="0.25">
      <c r="A40" s="39" t="s">
        <v>420</v>
      </c>
      <c r="B40" s="39"/>
      <c r="K40"/>
      <c r="L40"/>
    </row>
    <row r="41" spans="1:14" ht="23.25" customHeight="1" x14ac:dyDescent="0.25">
      <c r="A41" s="38">
        <v>44</v>
      </c>
      <c r="B41" s="38"/>
    </row>
    <row r="42" spans="1:14" ht="23.25" customHeight="1" x14ac:dyDescent="0.25">
      <c r="A42" s="38"/>
      <c r="B42" s="38"/>
    </row>
    <row r="43" spans="1:14" ht="23.25" customHeight="1" x14ac:dyDescent="0.25">
      <c r="B43" s="27"/>
    </row>
    <row r="44" spans="1:14" ht="23.25" customHeight="1" x14ac:dyDescent="0.35">
      <c r="A44" s="29"/>
      <c r="B44" s="27"/>
    </row>
  </sheetData>
  <mergeCells count="6">
    <mergeCell ref="A41:B42"/>
    <mergeCell ref="A40:B40"/>
    <mergeCell ref="N33:N37"/>
    <mergeCell ref="I18:J18"/>
    <mergeCell ref="I23:J23"/>
    <mergeCell ref="I28:J28"/>
  </mergeCells>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iconSet" priority="3" id="{68670351-D1A2-4F3C-855B-51BEB31DBDDA}">
            <x14:iconSet iconSet="3Triangles" custom="1">
              <x14:cfvo type="percent">
                <xm:f>0</xm:f>
              </x14:cfvo>
              <x14:cfvo type="percent" gte="0">
                <xm:f>33</xm:f>
              </x14:cfvo>
              <x14:cfvo type="percent">
                <xm:f>60</xm:f>
              </x14:cfvo>
              <x14:cfIcon iconSet="3Triangles" iconId="0"/>
              <x14:cfIcon iconSet="3Triangles" iconId="0"/>
              <x14:cfIcon iconSet="3Triangles" iconId="2"/>
            </x14:iconSet>
          </x14:cfRule>
          <xm:sqref>A33</xm:sqref>
        </x14:conditionalFormatting>
        <x14:conditionalFormatting xmlns:xm="http://schemas.microsoft.com/office/excel/2006/main">
          <x14:cfRule type="iconSet" priority="1" id="{C0F664AD-22CE-4F99-8F4B-E0BF19CCDB73}">
            <x14:iconSet iconSet="3Triangles" custom="1">
              <x14:cfvo type="percent">
                <xm:f>0</xm:f>
              </x14:cfvo>
              <x14:cfvo type="percent">
                <xm:f>33</xm:f>
              </x14:cfvo>
              <x14:cfvo type="percent">
                <xm:f>100</xm:f>
              </x14:cfvo>
              <x14:cfIcon iconSet="3Triangles" iconId="0"/>
              <x14:cfIcon iconSet="3Triangles" iconId="0"/>
              <x14:cfIcon iconSet="3Triangles" iconId="2"/>
            </x14:iconSet>
          </x14:cfRule>
          <xm:sqref>A36:B36 A39:B39</xm:sqref>
        </x14:conditionalFormatting>
        <x14:conditionalFormatting xmlns:xm="http://schemas.microsoft.com/office/excel/2006/main">
          <x14:cfRule type="iconSet" priority="2" id="{210D1BA7-E46E-4B79-8CBC-FB03602BC512}">
            <x14:iconSet iconSet="3Triangles" custom="1">
              <x14:cfvo type="percent">
                <xm:f>0</xm:f>
              </x14:cfvo>
              <x14:cfvo type="percent">
                <xm:f>33</xm:f>
              </x14:cfvo>
              <x14:cfvo type="percent" gte="0">
                <xm:f>100</xm:f>
              </x14:cfvo>
              <x14:cfIcon iconSet="3Triangles" iconId="0"/>
              <x14:cfIcon iconSet="3Triangles" iconId="0"/>
              <x14:cfIcon iconSet="3Triangles" iconId="2"/>
            </x14:iconSet>
          </x14:cfRule>
          <xm:sqref>B33</xm:sqref>
        </x14:conditionalFormatting>
      </x14:conditionalFormattings>
    </ex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175A88F-7F5A-4A3C-988C-CA55788CED4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Master Table</vt:lpstr>
      <vt:lpstr>Achievement</vt:lpstr>
      <vt:lpstr>No. of Invoice</vt:lpstr>
      <vt:lpstr>No.of Meeting</vt:lpstr>
      <vt:lpstr>Object - Product Group</vt:lpstr>
      <vt:lpstr>Top 4 Oppty</vt:lpstr>
      <vt:lpstr>Top 5 Product Sub-Group</vt:lpstr>
      <vt:lpstr>Meeting Trend</vt:lpstr>
      <vt:lpstr>Stage</vt:lpstr>
      <vt:lpstr>Slicers and Timeline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SRIVIDHYAA JAGADEESAN</dc:creator>
  <cp:lastModifiedBy>SRIVIDHYAA JAGADEESAN</cp:lastModifiedBy>
  <dcterms:created xsi:type="dcterms:W3CDTF">2025-09-02T11:40:42Z</dcterms:created>
  <dcterms:modified xsi:type="dcterms:W3CDTF">2025-09-26T06:45:47Z</dcterms:modified>
</cp:coreProperties>
</file>